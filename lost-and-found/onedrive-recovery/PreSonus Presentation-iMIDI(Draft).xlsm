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30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0fc974fb6bd0d74/"/>
    </mc:Choice>
  </mc:AlternateContent>
  <xr:revisionPtr revIDLastSave="1" documentId="8_{71ED3196-7D76-564C-B1EE-E3EB14822CE5}" xr6:coauthVersionLast="47" xr6:coauthVersionMax="47" xr10:uidLastSave="{EB299D10-F79F-394D-9DAD-C0547F70D758}"/>
  <bookViews>
    <workbookView xWindow="0" yWindow="680" windowWidth="30240" windowHeight="18960" xr2:uid="{475B5942-2DF3-C44A-B54F-BD9B415604C0}"/>
  </bookViews>
  <sheets>
    <sheet name="Sheet1" sheetId="1" r:id="rId1"/>
  </sheets>
  <definedNames>
    <definedName name="_xleta.GROWTH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0" i="1" l="1" a="1"/>
  <c r="F100" i="1" s="1"/>
  <c r="E156" i="1"/>
  <c r="B156" i="1"/>
  <c r="D149" i="1"/>
  <c r="D151" i="1"/>
  <c r="D150" i="1"/>
  <c r="G147" i="1"/>
  <c r="F147" i="1"/>
  <c r="D147" i="1"/>
  <c r="G145" i="1"/>
  <c r="E145" i="1"/>
  <c r="D145" i="1"/>
  <c r="C145" i="1"/>
  <c r="B145" i="1"/>
  <c r="G144" i="1"/>
  <c r="E144" i="1"/>
  <c r="D144" i="1"/>
  <c r="C144" i="1"/>
  <c r="B144" i="1"/>
  <c r="G143" i="1"/>
  <c r="E143" i="1"/>
  <c r="D143" i="1"/>
  <c r="C143" i="1"/>
  <c r="B143" i="1"/>
  <c r="G141" i="1"/>
  <c r="E141" i="1"/>
  <c r="D141" i="1"/>
  <c r="C141" i="1"/>
  <c r="B141" i="1"/>
  <c r="G140" i="1"/>
  <c r="E140" i="1"/>
  <c r="D140" i="1"/>
  <c r="C140" i="1"/>
  <c r="B140" i="1"/>
  <c r="G139" i="1"/>
  <c r="E139" i="1"/>
  <c r="D139" i="1"/>
  <c r="C139" i="1"/>
  <c r="B139" i="1"/>
  <c r="Q90" i="1"/>
  <c r="P90" i="1"/>
  <c r="O90" i="1"/>
  <c r="N90" i="1"/>
  <c r="M90" i="1"/>
  <c r="Q89" i="1"/>
  <c r="P89" i="1"/>
  <c r="O89" i="1"/>
  <c r="N89" i="1"/>
  <c r="M89" i="1"/>
  <c r="Q88" i="1"/>
  <c r="P88" i="1"/>
  <c r="O88" i="1"/>
  <c r="N88" i="1"/>
  <c r="M88" i="1"/>
  <c r="R84" i="1"/>
  <c r="Q84" i="1"/>
  <c r="P84" i="1"/>
  <c r="O84" i="1"/>
  <c r="N84" i="1"/>
  <c r="M84" i="1"/>
  <c r="Q79" i="1"/>
  <c r="P79" i="1"/>
  <c r="O79" i="1"/>
  <c r="N79" i="1"/>
  <c r="M79" i="1"/>
  <c r="Q78" i="1"/>
  <c r="P78" i="1"/>
  <c r="O78" i="1"/>
  <c r="N78" i="1"/>
  <c r="M78" i="1"/>
  <c r="Q77" i="1"/>
  <c r="P77" i="1"/>
  <c r="O77" i="1"/>
  <c r="N77" i="1"/>
  <c r="M77" i="1"/>
  <c r="Q73" i="1"/>
  <c r="P73" i="1"/>
  <c r="O73" i="1"/>
  <c r="N73" i="1"/>
  <c r="M73" i="1"/>
  <c r="Q72" i="1"/>
  <c r="P72" i="1"/>
  <c r="O72" i="1"/>
  <c r="N72" i="1"/>
  <c r="M72" i="1"/>
  <c r="Q71" i="1"/>
  <c r="P71" i="1"/>
  <c r="O71" i="1"/>
  <c r="N71" i="1"/>
  <c r="M71" i="1"/>
  <c r="G101" i="1"/>
  <c r="F101" i="1"/>
  <c r="E101" i="1"/>
  <c r="D101" i="1"/>
  <c r="C101" i="1"/>
  <c r="B101" i="1"/>
  <c r="G100" i="1"/>
  <c r="E100" i="1"/>
  <c r="D100" i="1"/>
  <c r="C100" i="1"/>
  <c r="B100" i="1"/>
  <c r="G98" i="1"/>
  <c r="F98" i="1"/>
  <c r="E98" i="1"/>
  <c r="D98" i="1"/>
  <c r="C98" i="1"/>
  <c r="B98" i="1"/>
  <c r="G97" i="1"/>
  <c r="F97" i="1"/>
  <c r="E97" i="1"/>
  <c r="D97" i="1"/>
  <c r="C97" i="1"/>
  <c r="B97" i="1"/>
  <c r="H94" i="1"/>
  <c r="G94" i="1"/>
  <c r="F94" i="1"/>
  <c r="E94" i="1"/>
  <c r="D94" i="1"/>
  <c r="C94" i="1"/>
  <c r="B94" i="1"/>
  <c r="H93" i="1"/>
  <c r="G93" i="1"/>
  <c r="F93" i="1"/>
  <c r="E93" i="1"/>
  <c r="D93" i="1"/>
  <c r="C93" i="1"/>
  <c r="B93" i="1"/>
  <c r="G91" i="1"/>
  <c r="F91" i="1"/>
  <c r="E91" i="1"/>
  <c r="D91" i="1"/>
  <c r="C91" i="1"/>
  <c r="B91" i="1"/>
  <c r="H90" i="1"/>
  <c r="G90" i="1"/>
  <c r="F90" i="1"/>
  <c r="E90" i="1"/>
  <c r="D90" i="1"/>
  <c r="C90" i="1"/>
  <c r="B90" i="1"/>
  <c r="H89" i="1"/>
  <c r="G89" i="1"/>
  <c r="F89" i="1"/>
  <c r="E89" i="1"/>
  <c r="D89" i="1"/>
  <c r="C89" i="1"/>
  <c r="B89" i="1"/>
  <c r="H88" i="1"/>
  <c r="G88" i="1"/>
  <c r="F88" i="1"/>
  <c r="E88" i="1"/>
  <c r="D88" i="1"/>
  <c r="C88" i="1"/>
  <c r="B88" i="1"/>
  <c r="O65" i="1"/>
  <c r="N65" i="1"/>
  <c r="M65" i="1"/>
  <c r="O64" i="1"/>
  <c r="N64" i="1"/>
  <c r="M64" i="1"/>
  <c r="O63" i="1"/>
  <c r="N63" i="1"/>
  <c r="M63" i="1"/>
  <c r="M47" i="1"/>
  <c r="O44" i="1"/>
  <c r="N44" i="1"/>
  <c r="M44" i="1"/>
  <c r="O43" i="1"/>
  <c r="N43" i="1"/>
  <c r="M43" i="1"/>
  <c r="O42" i="1"/>
  <c r="N42" i="1"/>
  <c r="M42" i="1"/>
  <c r="Q26" i="1"/>
  <c r="P26" i="1"/>
  <c r="O26" i="1"/>
  <c r="N26" i="1"/>
  <c r="M26" i="1"/>
  <c r="Q25" i="1"/>
  <c r="P25" i="1"/>
  <c r="O25" i="1"/>
  <c r="N25" i="1"/>
  <c r="M25" i="1"/>
  <c r="Q24" i="1"/>
  <c r="P24" i="1"/>
  <c r="O24" i="1"/>
  <c r="N24" i="1"/>
  <c r="M24" i="1"/>
  <c r="Q23" i="1"/>
  <c r="P23" i="1"/>
  <c r="O23" i="1"/>
  <c r="N23" i="1"/>
  <c r="M23" i="1"/>
  <c r="Q22" i="1"/>
  <c r="P22" i="1"/>
  <c r="O22" i="1"/>
  <c r="N22" i="1"/>
  <c r="M22" i="1"/>
  <c r="Q13" i="1"/>
  <c r="P13" i="1"/>
  <c r="O13" i="1"/>
  <c r="N13" i="1"/>
  <c r="M13" i="1"/>
  <c r="Q12" i="1"/>
  <c r="P12" i="1"/>
  <c r="O12" i="1"/>
  <c r="N12" i="1"/>
  <c r="M12" i="1"/>
  <c r="Q11" i="1"/>
  <c r="P11" i="1"/>
  <c r="O11" i="1"/>
  <c r="N11" i="1"/>
  <c r="M11" i="1"/>
  <c r="Q10" i="1"/>
  <c r="P10" i="1"/>
  <c r="O10" i="1"/>
  <c r="N10" i="1"/>
  <c r="M10" i="1"/>
  <c r="Q9" i="1"/>
  <c r="P9" i="1"/>
  <c r="O9" i="1"/>
  <c r="N9" i="1"/>
  <c r="M9" i="1"/>
  <c r="B52" i="1"/>
  <c r="B51" i="1"/>
  <c r="B50" i="1"/>
  <c r="B48" i="1"/>
  <c r="B47" i="1"/>
  <c r="B46" i="1"/>
  <c r="B43" i="1"/>
  <c r="B42" i="1"/>
  <c r="B41" i="1"/>
  <c r="B40" i="1"/>
  <c r="E53" i="1"/>
  <c r="E52" i="1"/>
  <c r="E51" i="1"/>
  <c r="J48" i="1"/>
  <c r="J47" i="1"/>
  <c r="J46" i="1"/>
  <c r="I42" i="1"/>
  <c r="H42" i="1"/>
  <c r="G42" i="1"/>
  <c r="F42" i="1"/>
  <c r="E42" i="1"/>
  <c r="J41" i="1"/>
  <c r="I41" i="1"/>
  <c r="H41" i="1"/>
  <c r="G41" i="1"/>
  <c r="F41" i="1"/>
  <c r="E41" i="1"/>
  <c r="J39" i="1"/>
  <c r="I39" i="1"/>
  <c r="H39" i="1"/>
  <c r="G39" i="1"/>
  <c r="F39" i="1"/>
  <c r="E39" i="1"/>
  <c r="J37" i="1"/>
  <c r="I37" i="1"/>
  <c r="H37" i="1"/>
  <c r="G37" i="1"/>
  <c r="F37" i="1"/>
  <c r="E37" i="1"/>
  <c r="J36" i="1"/>
  <c r="I36" i="1"/>
  <c r="H36" i="1"/>
  <c r="G36" i="1"/>
  <c r="F36" i="1"/>
  <c r="E36" i="1"/>
  <c r="J32" i="1"/>
  <c r="I32" i="1"/>
  <c r="H32" i="1"/>
  <c r="G32" i="1"/>
  <c r="F32" i="1"/>
  <c r="E32" i="1"/>
  <c r="J30" i="1"/>
  <c r="I30" i="1"/>
  <c r="H30" i="1"/>
  <c r="G30" i="1"/>
  <c r="F30" i="1"/>
  <c r="E30" i="1"/>
  <c r="J29" i="1"/>
  <c r="I29" i="1"/>
  <c r="H29" i="1"/>
  <c r="G29" i="1"/>
  <c r="F29" i="1"/>
  <c r="E29" i="1"/>
  <c r="J28" i="1"/>
  <c r="I28" i="1"/>
  <c r="H28" i="1"/>
  <c r="G28" i="1"/>
  <c r="F28" i="1"/>
  <c r="E28" i="1"/>
  <c r="J27" i="1"/>
  <c r="I27" i="1"/>
  <c r="H27" i="1"/>
  <c r="G27" i="1"/>
  <c r="F27" i="1"/>
  <c r="E27" i="1"/>
  <c r="J26" i="1"/>
  <c r="I26" i="1"/>
  <c r="H26" i="1"/>
  <c r="G26" i="1"/>
  <c r="F26" i="1"/>
  <c r="E26" i="1"/>
  <c r="J25" i="1"/>
  <c r="I25" i="1"/>
  <c r="H25" i="1"/>
  <c r="G25" i="1"/>
  <c r="F25" i="1"/>
  <c r="E25" i="1"/>
  <c r="J21" i="1"/>
  <c r="I21" i="1"/>
  <c r="H21" i="1"/>
  <c r="G21" i="1"/>
  <c r="F21" i="1"/>
  <c r="J20" i="1"/>
  <c r="I20" i="1"/>
  <c r="H20" i="1"/>
  <c r="G20" i="1"/>
  <c r="F20" i="1"/>
  <c r="E20" i="1"/>
  <c r="J19" i="1"/>
  <c r="I19" i="1"/>
  <c r="H19" i="1"/>
  <c r="G19" i="1"/>
  <c r="F19" i="1"/>
  <c r="E19" i="1"/>
  <c r="J18" i="1"/>
  <c r="I18" i="1"/>
  <c r="H18" i="1"/>
  <c r="G18" i="1"/>
  <c r="F18" i="1"/>
  <c r="E18" i="1"/>
  <c r="J17" i="1"/>
  <c r="I17" i="1"/>
  <c r="H17" i="1"/>
  <c r="G17" i="1"/>
  <c r="F17" i="1"/>
  <c r="E17" i="1"/>
  <c r="J16" i="1"/>
  <c r="I16" i="1"/>
  <c r="H16" i="1"/>
  <c r="G16" i="1"/>
  <c r="F16" i="1"/>
  <c r="E16" i="1"/>
  <c r="J15" i="1"/>
  <c r="I15" i="1"/>
  <c r="H15" i="1"/>
  <c r="G15" i="1"/>
  <c r="F15" i="1"/>
  <c r="E15" i="1"/>
  <c r="J11" i="1"/>
  <c r="I11" i="1"/>
  <c r="H11" i="1"/>
  <c r="G11" i="1"/>
  <c r="F11" i="1"/>
  <c r="E11" i="1"/>
  <c r="J10" i="1"/>
  <c r="I10" i="1"/>
  <c r="H10" i="1"/>
  <c r="G10" i="1"/>
  <c r="F10" i="1"/>
  <c r="E10" i="1"/>
  <c r="J9" i="1"/>
  <c r="I9" i="1"/>
  <c r="H9" i="1"/>
  <c r="G9" i="1"/>
  <c r="F9" i="1"/>
  <c r="E9" i="1"/>
  <c r="J8" i="1"/>
  <c r="I8" i="1"/>
  <c r="H8" i="1"/>
  <c r="G8" i="1"/>
  <c r="F8" i="1"/>
  <c r="E8" i="1"/>
  <c r="J7" i="1"/>
  <c r="I7" i="1"/>
  <c r="H7" i="1"/>
  <c r="G7" i="1"/>
  <c r="F7" i="1"/>
  <c r="E7" i="1"/>
  <c r="B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Sean Burdges</author>
  </authors>
  <commentList>
    <comment ref="B17" authorId="0" shapeId="0" xr:uid="{7120D603-6615-6B4D-A85B-AFA8AF59EB6E}">
      <text>
        <r>
          <rPr>
            <b/>
            <sz val="10"/>
            <color rgb="FF000000"/>
            <rFont val="Tahoma"/>
            <family val="2"/>
          </rPr>
          <t>Sean Burdges: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Cloud hosting, CDN, etc. Scales with users</t>
        </r>
      </text>
    </comment>
    <comment ref="B18" authorId="0" shapeId="0" xr:uid="{C190EDD4-4DBB-8F4C-8D07-1FE2CC234581}">
      <text>
        <r>
          <rPr>
            <b/>
            <sz val="10"/>
            <color rgb="FF000000"/>
            <rFont val="Tahoma"/>
            <family val="2"/>
          </rPr>
          <t>Sean Burdges:</t>
        </r>
        <r>
          <rPr>
            <sz val="10"/>
            <color rgb="FF000000"/>
            <rFont val="Tahoma"/>
            <family val="2"/>
          </rPr>
          <t xml:space="preserve">
Social media ads, content creation, influencer seeding</t>
        </r>
      </text>
    </comment>
    <comment ref="B19" authorId="0" shapeId="0" xr:uid="{5D6CE9F3-97EE-A142-B7D0-6B2295E7B2C7}">
      <text>
        <r>
          <rPr>
            <b/>
            <sz val="10"/>
            <color rgb="FF000000"/>
            <rFont val="Tahoma"/>
            <family val="2"/>
          </rPr>
          <t>Sean Burdges:</t>
        </r>
        <r>
          <rPr>
            <sz val="10"/>
            <color rgb="FF000000"/>
            <rFont val="Tahoma"/>
            <family val="2"/>
          </rPr>
          <t xml:space="preserve">
Email support, documentation, community management</t>
        </r>
      </text>
    </comment>
    <comment ref="B20" authorId="0" shapeId="0" xr:uid="{9B872141-EBA6-2F40-A47F-31273720726C}">
      <text>
        <r>
          <rPr>
            <b/>
            <sz val="10"/>
            <color rgb="FF000000"/>
            <rFont val="Tahoma"/>
            <family val="2"/>
          </rPr>
          <t>Sean Burdges:</t>
        </r>
        <r>
          <rPr>
            <sz val="10"/>
            <color rgb="FF000000"/>
            <rFont val="Tahoma"/>
            <family val="2"/>
          </rPr>
          <t xml:space="preserve">
Tools, services, contractors, continued development</t>
        </r>
      </text>
    </comment>
    <comment ref="B22" authorId="0" shapeId="0" xr:uid="{693F9CED-09B4-1449-9B91-B26F42E3E653}">
      <text>
        <r>
          <rPr>
            <b/>
            <sz val="10"/>
            <color rgb="FF000000"/>
            <rFont val="Tahoma"/>
            <family val="2"/>
          </rPr>
          <t>Sean Burdges:</t>
        </r>
        <r>
          <rPr>
            <sz val="10"/>
            <color rgb="FF000000"/>
            <rFont val="Tahoma"/>
            <family val="2"/>
          </rPr>
          <t xml:space="preserve">
Operating costs grow slower than revenue as business scales</t>
        </r>
      </text>
    </comment>
    <comment ref="B32" authorId="0" shapeId="0" xr:uid="{6B0F96CD-5A7B-4D4A-9FAF-56C9F77A8145}">
      <text>
        <r>
          <rPr>
            <b/>
            <sz val="10"/>
            <color rgb="FF000000"/>
            <rFont val="Tahoma"/>
            <family val="2"/>
          </rPr>
          <t>Sean Burdges: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Viral growth from freemium model</t>
        </r>
      </text>
    </comment>
    <comment ref="B33" authorId="0" shapeId="0" xr:uid="{0720D12F-7457-1A4F-B390-741A703AD19D}">
      <text>
        <r>
          <rPr>
            <b/>
            <sz val="10"/>
            <color rgb="FF000000"/>
            <rFont val="Tahoma"/>
            <family val="2"/>
          </rPr>
          <t>Sean Burdges: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% of Free users converting to Express</t>
        </r>
      </text>
    </comment>
    <comment ref="B34" authorId="0" shapeId="0" xr:uid="{87E516A7-2ACF-F248-A959-36D79C93C45B}">
      <text>
        <r>
          <rPr>
            <b/>
            <sz val="10"/>
            <color rgb="FF000000"/>
            <rFont val="Tahoma"/>
            <family val="2"/>
          </rPr>
          <t>Sean Burdges: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% of Free users buying Complete</t>
        </r>
      </text>
    </comment>
    <comment ref="B35" authorId="0" shapeId="0" xr:uid="{607C4B3E-0CEC-9C4E-81DC-FF2408A8C871}">
      <text>
        <r>
          <rPr>
            <b/>
            <sz val="10"/>
            <color rgb="FF000000"/>
            <rFont val="Tahoma"/>
            <family val="2"/>
          </rPr>
          <t>Sean Burdges:</t>
        </r>
        <r>
          <rPr>
            <sz val="10"/>
            <color rgb="FF000000"/>
            <rFont val="Tahoma"/>
            <family val="2"/>
          </rPr>
          <t xml:space="preserve">
% of Free users buying Studio</t>
        </r>
      </text>
    </comment>
    <comment ref="B36" authorId="0" shapeId="0" xr:uid="{4C37BFA4-2124-0145-AA76-101B2329A457}">
      <text>
        <r>
          <rPr>
            <b/>
            <sz val="10"/>
            <color rgb="FF000000"/>
            <rFont val="Tahoma"/>
            <family val="2"/>
          </rPr>
          <t>Sean Burdges:</t>
        </r>
        <r>
          <rPr>
            <sz val="10"/>
            <color rgb="FF000000"/>
            <rFont val="Tahoma"/>
            <family val="2"/>
          </rPr>
          <t xml:space="preserve">
Annual churn for subscription tier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<sst xmlns="http://schemas.openxmlformats.org/spreadsheetml/2006/main" count="316" uniqueCount="253">
  <si>
    <t>Valuation Date: December 2025</t>
  </si>
  <si>
    <t>KEY ASSUMPTIONS</t>
  </si>
  <si>
    <t>Pricing (from Strategy Doc)</t>
  </si>
  <si>
    <t>Express Monthly</t>
  </si>
  <si>
    <t>Complete One-Time</t>
  </si>
  <si>
    <t>Studio One-Time</t>
  </si>
  <si>
    <t>Valuation Parameters</t>
  </si>
  <si>
    <t>Discount Rate (WACC)</t>
  </si>
  <si>
    <t>Terminal Growth Rate</t>
  </si>
  <si>
    <t>Payment Processing Fee</t>
  </si>
  <si>
    <t>Operating Cost Assumptions</t>
  </si>
  <si>
    <t>Hosting (Year 1)</t>
  </si>
  <si>
    <t>Marketing (Year 1)</t>
  </si>
  <si>
    <t>Support (Year 1)</t>
  </si>
  <si>
    <t>Development (Year 1)</t>
  </si>
  <si>
    <t>Total Fixed OpEx (Y1)</t>
  </si>
  <si>
    <t>OpEx Growth Rate</t>
  </si>
  <si>
    <t>User Growth Assumptions</t>
  </si>
  <si>
    <t>Year 1 Base (Moderate)</t>
  </si>
  <si>
    <t xml:space="preserve">  Free Users</t>
  </si>
  <si>
    <t xml:space="preserve">  Express Users</t>
  </si>
  <si>
    <t xml:space="preserve">  Complete Users</t>
  </si>
  <si>
    <t xml:space="preserve">  Studio Users</t>
  </si>
  <si>
    <t>Growth Rates (Annual)</t>
  </si>
  <si>
    <t xml:space="preserve">  Free User Growth</t>
  </si>
  <si>
    <t xml:space="preserve">  Express Conversion Rate</t>
  </si>
  <si>
    <t xml:space="preserve">  Complete Conversion Rate</t>
  </si>
  <si>
    <t xml:space="preserve">  Studio Conversion Rate</t>
  </si>
  <si>
    <t xml:space="preserve">  Express Churn Rate</t>
  </si>
  <si>
    <t>USER PROJECTIONS</t>
  </si>
  <si>
    <t>Year 1</t>
  </si>
  <si>
    <t>Year 2</t>
  </si>
  <si>
    <t>Year 3</t>
  </si>
  <si>
    <t>Year 4</t>
  </si>
  <si>
    <t>Year 5</t>
  </si>
  <si>
    <t>Terminal</t>
  </si>
  <si>
    <t>Free Users (Cumulative)</t>
  </si>
  <si>
    <t>Express Subscribers (Active)</t>
  </si>
  <si>
    <t>Complete Purchases (New/Year)</t>
  </si>
  <si>
    <t>Studio Purchases (New/Year)</t>
  </si>
  <si>
    <t>Total Paying Users</t>
  </si>
  <si>
    <t>REVENUE PROJECTIONS</t>
  </si>
  <si>
    <t>Express Revenue (Annual)</t>
  </si>
  <si>
    <t>Complete Revenue</t>
  </si>
  <si>
    <t>Studio Revenue</t>
  </si>
  <si>
    <t>Gross Revenue</t>
  </si>
  <si>
    <t xml:space="preserve">  Payment Processing (10%)</t>
  </si>
  <si>
    <t>Net Revenue</t>
  </si>
  <si>
    <t xml:space="preserve">  YoY Growth</t>
  </si>
  <si>
    <t>-</t>
  </si>
  <si>
    <t>OPERATING EXPENSES</t>
  </si>
  <si>
    <t>Hosting</t>
  </si>
  <si>
    <t>Marketing</t>
  </si>
  <si>
    <t>Support</t>
  </si>
  <si>
    <t>Development</t>
  </si>
  <si>
    <t>Total Operating Expenses</t>
  </si>
  <si>
    <t xml:space="preserve">  OpEx as % of Revenue</t>
  </si>
  <si>
    <t>EBITDA (Operating Income)</t>
  </si>
  <si>
    <t>FREE CASH FLOW &amp; DCF</t>
  </si>
  <si>
    <t>EBITDA</t>
  </si>
  <si>
    <t xml:space="preserve">  Less: Taxes (Est. 25%)</t>
  </si>
  <si>
    <t xml:space="preserve">  Less: CapEx (Minimal)</t>
  </si>
  <si>
    <t>Free Cash Flow (FCF)</t>
  </si>
  <si>
    <t>Discount Factor</t>
  </si>
  <si>
    <t>Present Value of FCF</t>
  </si>
  <si>
    <t>TERMINAL VALUE</t>
  </si>
  <si>
    <t>Gordon Growth Method</t>
  </si>
  <si>
    <t>Terminal FCF (Year 5 × (1+g))</t>
  </si>
  <si>
    <t>Terminal Value (FCF/(WACC-g))</t>
  </si>
  <si>
    <t>PV of Terminal Value</t>
  </si>
  <si>
    <t>VALUATION SUMMARY</t>
  </si>
  <si>
    <t>Sum of PV (Years 1-5)</t>
  </si>
  <si>
    <t>ENTERPRISE VALUE</t>
  </si>
  <si>
    <t>KEY METRICS</t>
  </si>
  <si>
    <t>Enterprise Value</t>
  </si>
  <si>
    <t>Year 5 Revenue</t>
  </si>
  <si>
    <t>Year 5 EBITDA</t>
  </si>
  <si>
    <t>Year 5 FCF</t>
  </si>
  <si>
    <t>Valuation Multiples</t>
  </si>
  <si>
    <t>EV / Year 5 Revenue</t>
  </si>
  <si>
    <t>EV / Year 5 EBITDA</t>
  </si>
  <si>
    <t>EV / Year 5 FCF</t>
  </si>
  <si>
    <t>5-Year Revenue CAGR</t>
  </si>
  <si>
    <t>5-Year EBITDA CAGR</t>
  </si>
  <si>
    <t>EBITDA Margin (Year 5)</t>
  </si>
  <si>
    <t>SENSITIVITY: WACC vs TERMINAL GROWTH</t>
  </si>
  <si>
    <t>Enterprise Value ($)</t>
  </si>
  <si>
    <t>Terminal Growth Rate →</t>
  </si>
  <si>
    <t>WACC ↓</t>
  </si>
  <si>
    <t>Yellow = Base Case (30% WACC, 3% Terminal Growth)</t>
  </si>
  <si>
    <t>SENSITIVITY: FREE USER GROWTH vs EXPRESS CONVERSION</t>
  </si>
  <si>
    <t>Year 5 Net Revenue ($)</t>
  </si>
  <si>
    <t>Express Conv. Rate →</t>
  </si>
  <si>
    <t>User Growth ↓</t>
  </si>
  <si>
    <t>Yellow = Base Case (50% Growth, 10% Conversion)</t>
  </si>
  <si>
    <t>SCENARIO ANALYSIS</t>
  </si>
  <si>
    <t>BEAR</t>
  </si>
  <si>
    <t>BASE</t>
  </si>
  <si>
    <t>BULL</t>
  </si>
  <si>
    <t>Assumptions:</t>
  </si>
  <si>
    <t xml:space="preserve">  Express Conversion</t>
  </si>
  <si>
    <t xml:space="preserve">  Complete Conversion</t>
  </si>
  <si>
    <t xml:space="preserve">  Express Churn</t>
  </si>
  <si>
    <t xml:space="preserve">  WACC</t>
  </si>
  <si>
    <t>Results:</t>
  </si>
  <si>
    <t xml:space="preserve">  Year 5 Revenue</t>
  </si>
  <si>
    <t xml:space="preserve">  Year 5 EBITDA</t>
  </si>
  <si>
    <t xml:space="preserve">  Enterprise Value</t>
  </si>
  <si>
    <t>Probability Weight</t>
  </si>
  <si>
    <t>PROB-WEIGHTED VALUE</t>
  </si>
  <si>
    <t>KEY VALUE DRIVERS ANALYSIS</t>
  </si>
  <si>
    <t>Driver</t>
  </si>
  <si>
    <t>Base Value</t>
  </si>
  <si>
    <t>Impact on EV</t>
  </si>
  <si>
    <t>Sensitivity</t>
  </si>
  <si>
    <t>Strategic Recommendation</t>
  </si>
  <si>
    <t>1. Free User Growth</t>
  </si>
  <si>
    <t>VERY HIGH</t>
  </si>
  <si>
    <t>+50% growth → 2x revenue</t>
  </si>
  <si>
    <t>Focus on viral loops, freemium watermarks, community building</t>
  </si>
  <si>
    <t>2. Express Conversion Rate</t>
  </si>
  <si>
    <t>HIGH</t>
  </si>
  <si>
    <t>5%→15% = 60% rev lift</t>
  </si>
  <si>
    <t>Optimize onboarding, limit free features, add 14-day trial</t>
  </si>
  <si>
    <t>3. Express Churn Rate</t>
  </si>
  <si>
    <t>MEDIUM</t>
  </si>
  <si>
    <t>35%→15% = 40% more LTV</t>
  </si>
  <si>
    <t>Engagement emails, feature updates, community</t>
  </si>
  <si>
    <t>4. Complete One-Time Price</t>
  </si>
  <si>
    <t>+$20 = 33% more per sale</t>
  </si>
  <si>
    <t>Test $79.99 with added features, A/B test pricing</t>
  </si>
  <si>
    <t>5. Studio Tier Adoption</t>
  </si>
  <si>
    <t>LOW-MED</t>
  </si>
  <si>
    <t>Small base, high margin</t>
  </si>
  <si>
    <t>Target music therapists, studios with commercial license</t>
  </si>
  <si>
    <t>CRITICAL MILESTONES FOR VALUE CREATION</t>
  </si>
  <si>
    <t>Milestone</t>
  </si>
  <si>
    <t>Target</t>
  </si>
  <si>
    <t>Revenue Impact</t>
  </si>
  <si>
    <t>Timeline</t>
  </si>
  <si>
    <t xml:space="preserve">  Launch on Gumroad</t>
  </si>
  <si>
    <t>100 users</t>
  </si>
  <si>
    <t>$6K</t>
  </si>
  <si>
    <t>Month 6</t>
  </si>
  <si>
    <t xml:space="preserve">  Plugin Boutique listing</t>
  </si>
  <si>
    <t>500 users</t>
  </si>
  <si>
    <t>$30K</t>
  </si>
  <si>
    <t>Month 12</t>
  </si>
  <si>
    <t xml:space="preserve">  Voice-to-MIDI launch</t>
  </si>
  <si>
    <t>Feature diff.</t>
  </si>
  <si>
    <t>+25% conv.</t>
  </si>
  <si>
    <t>Q3 2026</t>
  </si>
  <si>
    <t xml:space="preserve">  Music therapy partnerships</t>
  </si>
  <si>
    <t>10 partners</t>
  </si>
  <si>
    <t>Studio tier</t>
  </si>
  <si>
    <t xml:space="preserve">  5,000 free users</t>
  </si>
  <si>
    <t>Viral growth</t>
  </si>
  <si>
    <t>Flywheel</t>
  </si>
  <si>
    <t>OPERATING COST BREAKDOWN &amp; ASSUMPTIONS</t>
  </si>
  <si>
    <t>Category</t>
  </si>
  <si>
    <t>Details/Rationale</t>
  </si>
  <si>
    <t>$100/mo - Cloud hosting (AWS/Vercel), CDN, file storage for MIDI files</t>
  </si>
  <si>
    <t>$500/mo - Social ads, YouTube content, influencer seeding, community building</t>
  </si>
  <si>
    <t>$200/mo - Email support tools, documentation platform, community management</t>
  </si>
  <si>
    <t>$1,000/mo - Dev tools, testing services, occasional contractor help, AI API costs</t>
  </si>
  <si>
    <t>Total Year 1 OpEx</t>
  </si>
  <si>
    <t>Conservative estimate - local processing reduces cloud costs significantly</t>
  </si>
  <si>
    <t>Payment Processing (10%)</t>
  </si>
  <si>
    <t>Variable</t>
  </si>
  <si>
    <t>Gumroad: 10% (5% + processing). Includes transaction fees, chargebacks, currency conversion</t>
  </si>
  <si>
    <t>Note: OpEx grows at 15%/year, slower than revenue (economies of scale). Local-first architecture minimizes cloud costs.</t>
  </si>
  <si>
    <t>ADDITIONAL SCENARIOS</t>
  </si>
  <si>
    <t>SUNO Disruption</t>
  </si>
  <si>
    <t>Viral Breakout</t>
  </si>
  <si>
    <t>Therapy Niche</t>
  </si>
  <si>
    <t>Scenario Description:</t>
  </si>
  <si>
    <t>SUNO adds emotional features, increased competition</t>
  </si>
  <si>
    <t>TikTok/YouTube creator adoption drives massive growth</t>
  </si>
  <si>
    <t>Focus on music therapy market, premium positioning</t>
  </si>
  <si>
    <t xml:space="preserve">  Studio Conversion</t>
  </si>
  <si>
    <t xml:space="preserve">  Avg Price Premium</t>
  </si>
  <si>
    <t>REVENUE WATERFALL BY TIER</t>
  </si>
  <si>
    <t>Revenue by Tier</t>
  </si>
  <si>
    <t>5-Year Total</t>
  </si>
  <si>
    <t>% of Total</t>
  </si>
  <si>
    <t>Express (Subscription)</t>
  </si>
  <si>
    <t>Complete (One-Time)</t>
  </si>
  <si>
    <t>Studio (One-Time)</t>
  </si>
  <si>
    <t>Less: Payment Processing</t>
  </si>
  <si>
    <t>Revenue Mix Analysis</t>
  </si>
  <si>
    <t>Recurring % (Express)</t>
  </si>
  <si>
    <t>← Subscription revenue</t>
  </si>
  <si>
    <t>One-Time % (Complete + Studio)</t>
  </si>
  <si>
    <t>← Upfront cash flow</t>
  </si>
  <si>
    <t>Cumulative Revenue</t>
  </si>
  <si>
    <t>← 5-Year Total</t>
  </si>
  <si>
    <t>Cumulative EBITDA</t>
  </si>
  <si>
    <t>← 5-Year Profit</t>
  </si>
  <si>
    <t>CHART DATA: Revenue &amp; EBITDA Growth</t>
  </si>
  <si>
    <t>Net Revenue ($K)</t>
  </si>
  <si>
    <t>EBITDA ($K)</t>
  </si>
  <si>
    <t>Free Cash Flow ($K)</t>
  </si>
  <si>
    <t>CHART DATA: Revenue by Tier ($K)</t>
  </si>
  <si>
    <t>Express</t>
  </si>
  <si>
    <t>Complete</t>
  </si>
  <si>
    <t>Studio</t>
  </si>
  <si>
    <t>CHART DATA: Scenario Comparison</t>
  </si>
  <si>
    <t>Bear</t>
  </si>
  <si>
    <t>Base</t>
  </si>
  <si>
    <t>Bull</t>
  </si>
  <si>
    <t>SUNO Risk</t>
  </si>
  <si>
    <t>Viral</t>
  </si>
  <si>
    <t>Therapy</t>
  </si>
  <si>
    <t>Enterprise Value ($K)</t>
  </si>
  <si>
    <t>CHART DATA: User Growth</t>
  </si>
  <si>
    <t>Free Users (K)</t>
  </si>
  <si>
    <t>Paying Users</t>
  </si>
  <si>
    <t>Conversion Rate</t>
  </si>
  <si>
    <t>COMPLETE SCENARIO SUMMARY</t>
  </si>
  <si>
    <t>Scenario</t>
  </si>
  <si>
    <t>Y5 Revenue</t>
  </si>
  <si>
    <t>Y5 EBITDA</t>
  </si>
  <si>
    <t>EV/Revenue</t>
  </si>
  <si>
    <t>Probability</t>
  </si>
  <si>
    <t>Weighted EV</t>
  </si>
  <si>
    <t>Key Assumption</t>
  </si>
  <si>
    <t>Bear Case</t>
  </si>
  <si>
    <t>30% growth, 6% conv, 35% churn</t>
  </si>
  <si>
    <t>Base Case</t>
  </si>
  <si>
    <t>50% growth, 10% conv, 25% churn</t>
  </si>
  <si>
    <t>Bull Case</t>
  </si>
  <si>
    <t>75% growth, 15% conv, 15% churn</t>
  </si>
  <si>
    <t>SUNO adds emotion features, competes</t>
  </si>
  <si>
    <t>TikTok/YouTube creator adoption</t>
  </si>
  <si>
    <t>Music therapy focus, premium price</t>
  </si>
  <si>
    <t>PROBABILITY-WEIGHTED EV</t>
  </si>
  <si>
    <t>Range: Low to High</t>
  </si>
  <si>
    <t>Upside Potential</t>
  </si>
  <si>
    <t>vs Base Case</t>
  </si>
  <si>
    <t>Downside Risk</t>
  </si>
  <si>
    <t>EXECUTIVE SUMMARY - KELLY MIDI COMPANION VALUATION</t>
  </si>
  <si>
    <t>Base Case Enterprise Value:</t>
  </si>
  <si>
    <t>Probability-Weighted EV:</t>
  </si>
  <si>
    <t>Key Investment Thesis:</t>
  </si>
  <si>
    <t>✓ Unique positioning: Therapeutic music creation (not competing with SUNO)</t>
  </si>
  <si>
    <t>✓ Mixed revenue model: Recurring (Express) + One-time (Complete/Studio)</t>
  </si>
  <si>
    <t>✓ Low operating costs: Local-first processing, minimal cloud dependency</t>
  </si>
  <si>
    <t>✓ High EBITDA margins: 90%+ at scale due to software economics</t>
  </si>
  <si>
    <t>✓ Viral potential: Freemium watermark drives organic growth</t>
  </si>
  <si>
    <t>Key Risks:</t>
  </si>
  <si>
    <t>⚠ SUNO/competitors adding emotional features</t>
  </si>
  <si>
    <t>⚠ User acquisition in crowded plugin market</t>
  </si>
  <si>
    <t>⚠ Express subscription churn (25% assumed)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</si>
</sst>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.00"/>
    <numFmt numFmtId="165" formatCode="0.0%"/>
    <numFmt numFmtId="166" formatCode="&quot;$&quot;#,##0"/>
    <numFmt numFmtId="167" formatCode="&quot;$&quot;#,##0;\(&quot;$&quot;#,##0\);\-"/>
    <numFmt numFmtId="169" formatCode="0.0000"/>
    <numFmt numFmtId="171" formatCode="0.0\x"/>
    <numFmt numFmtId="172" formatCode="#,##0.0"/>
    <numFmt numFmtId="173" formatCode="\+0%"/>
  </numFmts>
  <fonts count="19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rgb="FF1F4E79"/>
      <name val="Aptos Narrow"/>
      <family val="2"/>
      <scheme val="minor"/>
    </font>
    <font>
      <i/>
      <sz val="12"/>
      <color rgb="FF666666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12"/>
      <color rgb="FF0000FF"/>
      <name val="Aptos Narrow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i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2"/>
      <color rgb="FFFFA500"/>
      <name val="Aptos Narrow"/>
      <family val="2"/>
      <scheme val="minor"/>
    </font>
    <font>
      <b/>
      <sz val="12"/>
      <color rgb="FF008000"/>
      <name val="Aptos Narrow"/>
      <family val="2"/>
      <scheme val="minor"/>
    </font>
    <font>
      <b/>
      <i/>
      <sz val="14"/>
      <color rgb="FFFFFFFF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D6E3F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DDD9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0" fillId="2" borderId="0" xfId="0" applyFill="1"/>
    <xf numFmtId="0" fontId="2" fillId="0" borderId="0" xfId="0" applyFont="1"/>
    <xf numFmtId="0" fontId="2" fillId="3" borderId="0" xfId="0" applyFont="1" applyFill="1"/>
    <xf numFmtId="0" fontId="0" fillId="3" borderId="0" xfId="0" applyFill="1"/>
    <xf numFmtId="164" fontId="0" fillId="0" borderId="0" xfId="0" applyNumberFormat="1"/>
    <xf numFmtId="165" fontId="6" fillId="0" borderId="0" xfId="0" applyNumberFormat="1" applyFont="1"/>
    <xf numFmtId="166" fontId="6" fillId="0" borderId="0" xfId="0" applyNumberFormat="1" applyFont="1"/>
    <xf numFmtId="166" fontId="2" fillId="0" borderId="0" xfId="0" applyNumberFormat="1" applyFont="1"/>
    <xf numFmtId="0" fontId="9" fillId="0" borderId="0" xfId="0" applyFont="1"/>
    <xf numFmtId="3" fontId="6" fillId="0" borderId="0" xfId="0" applyNumberFormat="1" applyFont="1"/>
    <xf numFmtId="9" fontId="6" fillId="0" borderId="0" xfId="0" applyNumberFormat="1" applyFont="1"/>
    <xf numFmtId="0" fontId="2" fillId="3" borderId="0" xfId="0" applyFont="1" applyFill="1" applyAlignment="1">
      <alignment horizontal="center"/>
    </xf>
    <xf numFmtId="0" fontId="0" fillId="4" borderId="0" xfId="0" applyFill="1"/>
    <xf numFmtId="3" fontId="0" fillId="4" borderId="0" xfId="0" applyNumberFormat="1" applyFill="1"/>
    <xf numFmtId="3" fontId="0" fillId="0" borderId="0" xfId="0" applyNumberFormat="1"/>
    <xf numFmtId="3" fontId="2" fillId="3" borderId="0" xfId="0" applyNumberFormat="1" applyFont="1" applyFill="1"/>
    <xf numFmtId="166" fontId="0" fillId="4" borderId="0" xfId="0" applyNumberFormat="1" applyFill="1"/>
    <xf numFmtId="166" fontId="0" fillId="0" borderId="0" xfId="0" applyNumberFormat="1"/>
    <xf numFmtId="166" fontId="2" fillId="3" borderId="0" xfId="0" applyNumberFormat="1" applyFont="1" applyFill="1"/>
    <xf numFmtId="0" fontId="1" fillId="0" borderId="0" xfId="0" applyFont="1"/>
    <xf numFmtId="167" fontId="1" fillId="0" borderId="0" xfId="0" applyNumberFormat="1" applyFont="1"/>
    <xf numFmtId="0" fontId="2" fillId="5" borderId="0" xfId="0" applyFont="1" applyFill="1"/>
    <xf numFmtId="166" fontId="2" fillId="5" borderId="0" xfId="0" applyNumberFormat="1" applyFont="1" applyFill="1"/>
    <xf numFmtId="0" fontId="0" fillId="0" borderId="0" xfId="0" applyAlignment="1">
      <alignment horizontal="center"/>
    </xf>
    <xf numFmtId="165" fontId="0" fillId="0" borderId="0" xfId="0" applyNumberFormat="1"/>
    <xf numFmtId="0" fontId="2" fillId="6" borderId="0" xfId="0" applyFont="1" applyFill="1"/>
    <xf numFmtId="166" fontId="2" fillId="6" borderId="0" xfId="0" applyNumberFormat="1" applyFont="1" applyFill="1"/>
    <xf numFmtId="167" fontId="0" fillId="0" borderId="0" xfId="0" applyNumberFormat="1"/>
    <xf numFmtId="167" fontId="0" fillId="4" borderId="0" xfId="0" applyNumberFormat="1" applyFill="1"/>
    <xf numFmtId="169" fontId="0" fillId="4" borderId="0" xfId="0" applyNumberFormat="1" applyFill="1"/>
    <xf numFmtId="0" fontId="2" fillId="4" borderId="0" xfId="0" applyFont="1" applyFill="1"/>
    <xf numFmtId="166" fontId="2" fillId="4" borderId="0" xfId="0" applyNumberFormat="1" applyFont="1" applyFill="1"/>
    <xf numFmtId="0" fontId="10" fillId="5" borderId="0" xfId="0" applyFont="1" applyFill="1"/>
    <xf numFmtId="166" fontId="10" fillId="5" borderId="0" xfId="0" applyNumberFormat="1" applyFont="1" applyFill="1"/>
    <xf numFmtId="0" fontId="0" fillId="5" borderId="0" xfId="0" applyFill="1"/>
    <xf numFmtId="171" fontId="0" fillId="0" borderId="0" xfId="0" applyNumberFormat="1"/>
    <xf numFmtId="0" fontId="11" fillId="3" borderId="0" xfId="0" applyFont="1" applyFill="1" applyAlignment="1">
      <alignment horizontal="center"/>
    </xf>
    <xf numFmtId="9" fontId="2" fillId="3" borderId="0" xfId="0" applyNumberFormat="1" applyFont="1" applyFill="1" applyAlignment="1">
      <alignment horizontal="center"/>
    </xf>
    <xf numFmtId="9" fontId="2" fillId="3" borderId="0" xfId="0" applyNumberFormat="1" applyFont="1" applyFill="1"/>
    <xf numFmtId="9" fontId="2" fillId="7" borderId="0" xfId="0" applyNumberFormat="1" applyFont="1" applyFill="1"/>
    <xf numFmtId="166" fontId="2" fillId="7" borderId="0" xfId="0" applyNumberFormat="1" applyFont="1" applyFill="1"/>
    <xf numFmtId="0" fontId="12" fillId="0" borderId="0" xfId="0" applyFont="1"/>
    <xf numFmtId="0" fontId="13" fillId="0" borderId="0" xfId="0" applyFont="1"/>
    <xf numFmtId="0" fontId="2" fillId="6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11" fillId="0" borderId="0" xfId="0" applyFont="1"/>
    <xf numFmtId="0" fontId="2" fillId="4" borderId="0" xfId="0" applyFont="1" applyFill="1" applyAlignment="1">
      <alignment horizontal="center"/>
    </xf>
    <xf numFmtId="9" fontId="0" fillId="4" borderId="0" xfId="0" applyNumberFormat="1" applyFill="1"/>
    <xf numFmtId="9" fontId="0" fillId="0" borderId="0" xfId="0" applyNumberFormat="1"/>
    <xf numFmtId="0" fontId="11" fillId="4" borderId="0" xfId="0" applyFont="1" applyFill="1"/>
    <xf numFmtId="9" fontId="0" fillId="3" borderId="0" xfId="0" applyNumberFormat="1" applyFill="1" applyAlignment="1">
      <alignment horizontal="center"/>
    </xf>
    <xf numFmtId="0" fontId="14" fillId="2" borderId="0" xfId="0" applyFont="1" applyFill="1"/>
    <xf numFmtId="0" fontId="0" fillId="4" borderId="0" xfId="0" applyFill="1" applyAlignment="1">
      <alignment horizontal="center"/>
    </xf>
    <xf numFmtId="9" fontId="0" fillId="4" borderId="0" xfId="0" applyNumberFormat="1" applyFill="1" applyAlignment="1">
      <alignment horizontal="center"/>
    </xf>
    <xf numFmtId="0" fontId="15" fillId="4" borderId="0" xfId="0" applyFont="1" applyFill="1" applyAlignment="1">
      <alignment horizontal="center"/>
    </xf>
    <xf numFmtId="9" fontId="0" fillId="0" borderId="0" xfId="0" applyNumberFormat="1" applyAlignment="1">
      <alignment horizontal="center"/>
    </xf>
    <xf numFmtId="0" fontId="16" fillId="0" borderId="0" xfId="0" applyFont="1" applyAlignment="1">
      <alignment horizontal="center"/>
    </xf>
    <xf numFmtId="0" fontId="17" fillId="4" borderId="0" xfId="0" applyFont="1" applyFill="1" applyAlignment="1">
      <alignment horizontal="center"/>
    </xf>
    <xf numFmtId="166" fontId="0" fillId="0" borderId="0" xfId="0" applyNumberFormat="1" applyAlignment="1">
      <alignment horizontal="center"/>
    </xf>
    <xf numFmtId="0" fontId="17" fillId="0" borderId="0" xfId="0" applyFont="1" applyAlignment="1">
      <alignment horizontal="center"/>
    </xf>
    <xf numFmtId="165" fontId="0" fillId="4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6" fontId="0" fillId="4" borderId="0" xfId="0" applyNumberFormat="1" applyFill="1" applyAlignment="1">
      <alignment horizontal="center"/>
    </xf>
    <xf numFmtId="166" fontId="2" fillId="3" borderId="0" xfId="0" applyNumberFormat="1" applyFont="1" applyFill="1" applyAlignment="1">
      <alignment horizontal="center"/>
    </xf>
    <xf numFmtId="165" fontId="0" fillId="4" borderId="0" xfId="0" applyNumberFormat="1" applyFill="1"/>
    <xf numFmtId="167" fontId="15" fillId="0" borderId="0" xfId="0" applyNumberFormat="1" applyFont="1"/>
    <xf numFmtId="165" fontId="1" fillId="0" borderId="0" xfId="0" applyNumberFormat="1" applyFont="1"/>
    <xf numFmtId="165" fontId="2" fillId="5" borderId="0" xfId="0" applyNumberFormat="1" applyFont="1" applyFill="1"/>
    <xf numFmtId="165" fontId="2" fillId="4" borderId="0" xfId="0" applyNumberFormat="1" applyFont="1" applyFill="1"/>
    <xf numFmtId="0" fontId="13" fillId="4" borderId="0" xfId="0" applyFont="1" applyFill="1"/>
    <xf numFmtId="165" fontId="2" fillId="0" borderId="0" xfId="0" applyNumberFormat="1" applyFont="1"/>
    <xf numFmtId="166" fontId="0" fillId="3" borderId="0" xfId="0" applyNumberFormat="1" applyFill="1"/>
    <xf numFmtId="0" fontId="13" fillId="3" borderId="0" xfId="0" applyFont="1" applyFill="1"/>
    <xf numFmtId="166" fontId="0" fillId="5" borderId="0" xfId="0" applyNumberFormat="1" applyFill="1"/>
    <xf numFmtId="0" fontId="13" fillId="5" borderId="0" xfId="0" applyFont="1" applyFill="1"/>
    <xf numFmtId="172" fontId="0" fillId="0" borderId="0" xfId="0" applyNumberFormat="1"/>
    <xf numFmtId="172" fontId="0" fillId="4" borderId="0" xfId="0" applyNumberFormat="1" applyFill="1"/>
    <xf numFmtId="0" fontId="0" fillId="6" borderId="0" xfId="0" applyFill="1"/>
    <xf numFmtId="166" fontId="0" fillId="6" borderId="0" xfId="0" applyNumberFormat="1" applyFill="1"/>
    <xf numFmtId="171" fontId="0" fillId="6" borderId="0" xfId="0" applyNumberFormat="1" applyFill="1"/>
    <xf numFmtId="9" fontId="0" fillId="6" borderId="0" xfId="0" applyNumberFormat="1" applyFill="1"/>
    <xf numFmtId="0" fontId="12" fillId="6" borderId="0" xfId="0" applyFont="1" applyFill="1"/>
    <xf numFmtId="171" fontId="0" fillId="5" borderId="0" xfId="0" applyNumberFormat="1" applyFill="1"/>
    <xf numFmtId="9" fontId="0" fillId="5" borderId="0" xfId="0" applyNumberFormat="1" applyFill="1"/>
    <xf numFmtId="0" fontId="12" fillId="5" borderId="0" xfId="0" applyFont="1" applyFill="1"/>
    <xf numFmtId="171" fontId="0" fillId="3" borderId="0" xfId="0" applyNumberFormat="1" applyFill="1"/>
    <xf numFmtId="9" fontId="0" fillId="3" borderId="0" xfId="0" applyNumberFormat="1" applyFill="1"/>
    <xf numFmtId="0" fontId="12" fillId="3" borderId="0" xfId="0" applyFont="1" applyFill="1"/>
    <xf numFmtId="166" fontId="10" fillId="7" borderId="0" xfId="0" applyNumberFormat="1" applyFont="1" applyFill="1"/>
    <xf numFmtId="9" fontId="5" fillId="2" borderId="0" xfId="0" applyNumberFormat="1" applyFont="1" applyFill="1"/>
    <xf numFmtId="173" fontId="17" fillId="0" borderId="0" xfId="0" applyNumberFormat="1" applyFont="1"/>
    <xf numFmtId="9" fontId="15" fillId="0" borderId="0" xfId="0" applyNumberFormat="1" applyFont="1"/>
    <xf numFmtId="0" fontId="18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5-Year Financial Projections ($K)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Sheet1!$L$71</c:f>
              <c:strCache>
                <c:ptCount val="1"/>
                <c:pt idx="0">
                  <c:v>Net Revenue ($K)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Sheet1!$M$70:$Q$70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Sheet1!$M$71:$Q$71</c:f>
              <c:numCache>
                <c:formatCode>#,##0</c:formatCode>
                <c:ptCount val="5"/>
                <c:pt idx="0">
                  <c:v>86.342624999999998</c:v>
                </c:pt>
                <c:pt idx="1">
                  <c:v>174.09543299999999</c:v>
                </c:pt>
                <c:pt idx="2">
                  <c:v>294.48295200000007</c:v>
                </c:pt>
                <c:pt idx="3">
                  <c:v>466.66409400000003</c:v>
                </c:pt>
                <c:pt idx="4">
                  <c:v>718.79447699999992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F-2D42-998E-82697D81D009}"/>
            </c:ext>
          </c:extLst>
        </c:ser>
        <c:ser>
          <c:idx val="1"/>
          <c:order val="1"/>
          <c:tx>
            <c:strRef>
              <c:f>Sheet1!$L$72</c:f>
              <c:strCache>
                <c:ptCount val="1"/>
                <c:pt idx="0">
                  <c:v>EBITDA ($K)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Sheet1!$M$70:$Q$70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Sheet1!$M$72:$Q$72</c:f>
              <c:numCache>
                <c:formatCode>#,##0</c:formatCode>
                <c:ptCount val="5"/>
                <c:pt idx="0">
                  <c:v>64.742625000000004</c:v>
                </c:pt>
                <c:pt idx="1">
                  <c:v>149.25543299999998</c:v>
                </c:pt>
                <c:pt idx="2">
                  <c:v>265.91695200000004</c:v>
                </c:pt>
                <c:pt idx="3">
                  <c:v>433.81319400000007</c:v>
                </c:pt>
                <c:pt idx="4">
                  <c:v>681.01594199999988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BF-2D42-998E-82697D81D009}"/>
            </c:ext>
          </c:extLst>
        </c:ser>
        <c:ser>
          <c:idx val="2"/>
          <c:order val="2"/>
          <c:tx>
            <c:strRef>
              <c:f>Sheet1!$L$73</c:f>
              <c:strCache>
                <c:ptCount val="1"/>
                <c:pt idx="0">
                  <c:v>Free Cash Flow ($K)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Sheet1!$M$70:$Q$70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Sheet1!$M$73:$Q$73</c:f>
              <c:numCache>
                <c:formatCode>#,##0</c:formatCode>
                <c:ptCount val="5"/>
                <c:pt idx="0">
                  <c:v>48.056968750000003</c:v>
                </c:pt>
                <c:pt idx="1">
                  <c:v>111.19157475</c:v>
                </c:pt>
                <c:pt idx="2">
                  <c:v>198.43771400000003</c:v>
                </c:pt>
                <c:pt idx="3">
                  <c:v>323.85989550000005</c:v>
                </c:pt>
                <c:pt idx="4">
                  <c:v>508.7619565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BF-2D42-998E-82697D81D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034688"/>
        <c:axId val="2072385663"/>
      </c:lineChart>
      <c:catAx>
        <c:axId val="6603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385663"/>
        <c:crosses val="autoZero"/>
        <c:auto val="1"/>
        <c:lblAlgn val="ctr"/>
        <c:lblOffset val="100"/>
        <c:noMultiLvlLbl val="0"/>
      </c:catAx>
      <c:valAx>
        <c:axId val="207238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34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by Tier ($K)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Sheet1!$L$77</c:f>
              <c:strCache>
                <c:ptCount val="1"/>
                <c:pt idx="0">
                  <c:v>Express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Sheet1!$M$76:$Q$76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Sheet1!$M$77:$Q$77</c:f>
              <c:numCache>
                <c:formatCode>#,##0.0</c:formatCode>
                <c:ptCount val="5"/>
                <c:pt idx="0">
                  <c:v>65.94</c:v>
                </c:pt>
                <c:pt idx="1">
                  <c:v>148.36500000000001</c:v>
                </c:pt>
                <c:pt idx="2">
                  <c:v>259.67172000000005</c:v>
                </c:pt>
                <c:pt idx="3">
                  <c:v>417.26832000000002</c:v>
                </c:pt>
                <c:pt idx="4">
                  <c:v>646.73951999999997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2-E444-9EF8-E1DB4EC255B7}"/>
            </c:ext>
          </c:extLst>
        </c:ser>
        <c:ser>
          <c:idx val="1"/>
          <c:order val="1"/>
          <c:tx>
            <c:strRef>
              <c:f>Sheet1!$L$78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Sheet1!$M$76:$Q$76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Sheet1!$M$78:$Q$78</c:f>
              <c:numCache>
                <c:formatCode>#,##0.0</c:formatCode>
                <c:ptCount val="5"/>
                <c:pt idx="0">
                  <c:v>17.997</c:v>
                </c:pt>
                <c:pt idx="1">
                  <c:v>26.9955</c:v>
                </c:pt>
                <c:pt idx="2">
                  <c:v>40.493250000000003</c:v>
                </c:pt>
                <c:pt idx="3">
                  <c:v>60.769870000000004</c:v>
                </c:pt>
                <c:pt idx="4">
                  <c:v>91.124809999999997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D2-E444-9EF8-E1DB4EC255B7}"/>
            </c:ext>
          </c:extLst>
        </c:ser>
        <c:ser>
          <c:idx val="2"/>
          <c:order val="2"/>
          <c:tx>
            <c:strRef>
              <c:f>Sheet1!$L$79</c:f>
              <c:strCache>
                <c:ptCount val="1"/>
                <c:pt idx="0">
                  <c:v>Studio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Sheet1!$M$76:$Q$76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Sheet1!$M$79:$Q$79</c:f>
              <c:numCache>
                <c:formatCode>#,##0.0</c:formatCode>
                <c:ptCount val="5"/>
                <c:pt idx="0">
                  <c:v>11.99925</c:v>
                </c:pt>
                <c:pt idx="1">
                  <c:v>18.078870000000002</c:v>
                </c:pt>
                <c:pt idx="2">
                  <c:v>27.038310000000003</c:v>
                </c:pt>
                <c:pt idx="3">
                  <c:v>40.477470000000004</c:v>
                </c:pt>
                <c:pt idx="4">
                  <c:v>60.796200000000006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D2-E444-9EF8-E1DB4EC25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6868415"/>
        <c:axId val="1786870207"/>
      </c:barChart>
      <c:catAx>
        <c:axId val="1786868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6870207"/>
        <c:crosses val="autoZero"/>
        <c:auto val="1"/>
        <c:lblAlgn val="ctr"/>
        <c:lblOffset val="100"/>
        <c:noMultiLvlLbl val="0"/>
      </c:catAx>
      <c:valAx>
        <c:axId val="178687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6868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Scenario Analysis: Enterprise Value ($K)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Sheet1!$L$84</c:f>
              <c:strCache>
                <c:ptCount val="1"/>
                <c:pt idx="0">
                  <c:v>Enterprise Value ($K)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Sheet1!$M$83:$R$83</c:f>
              <c:strCache>
                <c:ptCount val="6"/>
                <c:pt idx="0">
                  <c:v>Bear</c:v>
                </c:pt>
                <c:pt idx="1">
                  <c:v>Base</c:v>
                </c:pt>
                <c:pt idx="2">
                  <c:v>Bull</c:v>
                </c:pt>
                <c:pt idx="3">
                  <c:v>SUNO Risk</c:v>
                </c:pt>
                <c:pt idx="4">
                  <c:v>Viral</c:v>
                </c:pt>
                <c:pt idx="5">
                  <c:v>Therapy</c:v>
                </c:pt>
              </c:strCache>
            </c:strRef>
          </c:cat>
          <c:val>
            <c:numRef>
              <c:f>Sheet1!$M$84:$R$84</c:f>
              <c:numCache>
                <c:formatCode>#,##0</c:formatCode>
                <c:ptCount val="6"/>
                <c:pt idx="0">
                  <c:v>1028.9220579544326</c:v>
                </c:pt>
                <c:pt idx="1">
                  <c:v>966.22225691111714</c:v>
                </c:pt>
                <c:pt idx="2">
                  <c:v>13730.211400082871</c:v>
                </c:pt>
                <c:pt idx="3">
                  <c:v>376.72628693719605</c:v>
                </c:pt>
                <c:pt idx="4">
                  <c:v>17181.045405216002</c:v>
                </c:pt>
                <c:pt idx="5">
                  <c:v>2920.6603969197931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B-D942-8E36-E2E5D0989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4097344"/>
        <c:axId val="64443648"/>
      </c:barChart>
      <c:catAx>
        <c:axId val="2740973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43648"/>
        <c:crosses val="autoZero"/>
        <c:auto val="1"/>
        <c:lblAlgn val="ctr"/>
        <c:lblOffset val="100"/>
        <c:noMultiLvlLbl val="0"/>
      </c:catAx>
      <c:valAx>
        <c:axId val="6444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09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User Growth Trajectory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Sheet1!$L$88</c:f>
              <c:strCache>
                <c:ptCount val="1"/>
                <c:pt idx="0">
                  <c:v>Free Users (K)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Sheet1!$M$87:$Q$87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Sheet1!$M$88:$Q$88</c:f>
              <c:numCache>
                <c:formatCode>#,##0.0</c:formatCode>
                <c:ptCount val="5"/>
                <c:pt idx="0">
                  <c:v>5</c:v>
                </c:pt>
                <c:pt idx="1">
                  <c:v>7.5</c:v>
                </c:pt>
                <c:pt idx="2">
                  <c:v>11.25</c:v>
                </c:pt>
                <c:pt idx="3">
                  <c:v>16.875</c:v>
                </c:pt>
                <c:pt idx="4">
                  <c:v>25.3125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2E-024B-AABB-9981F75E6D58}"/>
            </c:ext>
          </c:extLst>
        </c:ser>
        <c:ser>
          <c:idx val="1"/>
          <c:order val="1"/>
          <c:tx>
            <c:strRef>
              <c:f>Sheet1!$L$89</c:f>
              <c:strCache>
                <c:ptCount val="1"/>
                <c:pt idx="0">
                  <c:v>Paying Users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Sheet1!$M$87:$Q$87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Sheet1!$M$89:$Q$89</c:f>
              <c:numCache>
                <c:formatCode>#,##0</c:formatCode>
                <c:ptCount val="5"/>
                <c:pt idx="0">
                  <c:v>875</c:v>
                </c:pt>
                <c:pt idx="1">
                  <c:v>1688</c:v>
                </c:pt>
                <c:pt idx="2">
                  <c:v>2813</c:v>
                </c:pt>
                <c:pt idx="3">
                  <c:v>4430</c:v>
                </c:pt>
                <c:pt idx="4">
                  <c:v>6803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2E-024B-AABB-9981F75E6D58}"/>
            </c:ext>
          </c:extLst>
        </c:ser>
        <c:ser>
          <c:idx val="2"/>
          <c:order val="2"/>
          <c:tx>
            <c:strRef>
              <c:f>Sheet1!$L$90</c:f>
              <c:strCache>
                <c:ptCount val="1"/>
                <c:pt idx="0">
                  <c:v>Conversion Rate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Sheet1!$M$87:$Q$87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Sheet1!$M$90:$Q$90</c:f>
              <c:numCache>
                <c:formatCode>0.0%</c:formatCode>
                <c:ptCount val="5"/>
                <c:pt idx="0">
                  <c:v>0.17499999999999999</c:v>
                </c:pt>
                <c:pt idx="1">
                  <c:v>0.22506666666666666</c:v>
                </c:pt>
                <c:pt idx="2">
                  <c:v>0.25004444444444446</c:v>
                </c:pt>
                <c:pt idx="3">
                  <c:v>0.26251851851851854</c:v>
                </c:pt>
                <c:pt idx="4">
                  <c:v>0.2687604938271605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2E-024B-AABB-9981F75E6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826815"/>
        <c:axId val="1882825023"/>
      </c:areaChart>
      <c:catAx>
        <c:axId val="18828268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2825023"/>
        <c:crosses val="autoZero"/>
        <c:auto val="1"/>
        <c:lblAlgn val="ctr"/>
        <c:lblOffset val="100"/>
        <c:noMultiLvlLbl val="0"/>
      </c:catAx>
      <c:valAx>
        <c:axId val="188282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2826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103</xdr:row>
      <xdr:rowOff>0</xdr:rowOff>
    </xdr:from>
    <xdr:to>
      <xdr:col>0</xdr:col>
      <xdr:colOff>4572000</xdr:colOff>
      <xdr:row>116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597DA8-4E7D-2487-E78F-3F049BAB37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103</xdr:row>
      <xdr:rowOff>0</xdr:rowOff>
    </xdr:from>
    <xdr:to>
      <xdr:col>10</xdr:col>
      <xdr:colOff>444500</xdr:colOff>
      <xdr:row>116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5E2379D-BE51-1624-2C05-CDB6D937F3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119</xdr:row>
      <xdr:rowOff>0</xdr:rowOff>
    </xdr:from>
    <xdr:to>
      <xdr:col>0</xdr:col>
      <xdr:colOff>4572000</xdr:colOff>
      <xdr:row>132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697E056-445D-610D-A270-7B036D88C9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119</xdr:row>
      <xdr:rowOff>0</xdr:rowOff>
    </xdr:from>
    <xdr:to>
      <xdr:col>10</xdr:col>
      <xdr:colOff>444500</xdr:colOff>
      <xdr:row>132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A547CC-64B3-449A-FB97-FD43AD72B6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484D884-99E2-B74D-A531-C1AC981C907D}">
  <we:reference id="wa200009404" version="1.0.0.4" store="en-US" storeType="OMEX"/>
  <we:alternateReferences>
    <we:reference id="wa200009404" version="1.0.0.4" store="en-US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B126-0369-5A4F-8480-77F69889C45B}">
  <dimension ref="A1:R168"/>
  <sheetViews>
    <sheetView tabSelected="1" zoomScale="90" workbookViewId="0">
      <pane ySplit="4" topLeftCell="A90" activePane="bottomLeft" state="frozen"/>
      <selection pane="bottomLeft" activeCell="F100" sqref="F100"/>
    </sheetView>
  </sheetViews>
  <sheetFormatPr baseColWidth="10" defaultRowHeight="16" x14ac:dyDescent="0.2"/>
  <cols>
    <col min="1" max="1" width="99.6640625" bestFit="1" customWidth="1"/>
    <col min="3" max="3" width="78.83203125" bestFit="1" customWidth="1"/>
    <col min="4" max="4" width="28" bestFit="1" customWidth="1"/>
    <col min="5" max="5" width="53" bestFit="1" customWidth="1"/>
    <col min="6" max="6" width="10.1640625" bestFit="1" customWidth="1"/>
    <col min="7" max="7" width="11.83203125" bestFit="1" customWidth="1"/>
    <col min="8" max="8" width="26.1640625" bestFit="1" customWidth="1"/>
    <col min="9" max="9" width="10" bestFit="1" customWidth="1"/>
    <col min="10" max="10" width="10.1640625" bestFit="1" customWidth="1"/>
    <col min="12" max="12" width="51.33203125" bestFit="1" customWidth="1"/>
  </cols>
  <sheetData>
    <row r="1" spans="1:18" ht="22" x14ac:dyDescent="0.3">
      <c r="A1" s="1">
        <v>12</v>
      </c>
    </row>
    <row r="2" spans="1:18" x14ac:dyDescent="0.2">
      <c r="A2" s="2" t="s">
        <v>0</v>
      </c>
    </row>
    <row r="5" spans="1:18" x14ac:dyDescent="0.2">
      <c r="A5" s="3" t="s">
        <v>1</v>
      </c>
      <c r="B5" s="4"/>
      <c r="D5" s="3" t="s">
        <v>29</v>
      </c>
      <c r="E5" s="4"/>
      <c r="F5" s="4"/>
      <c r="G5" s="4"/>
      <c r="H5" s="4"/>
      <c r="I5" s="4"/>
      <c r="J5" s="4"/>
      <c r="L5" s="3" t="s">
        <v>85</v>
      </c>
      <c r="M5" s="4"/>
      <c r="N5" s="4"/>
      <c r="O5" s="4"/>
      <c r="P5" s="4"/>
      <c r="Q5" s="4"/>
      <c r="R5" s="4"/>
    </row>
    <row r="6" spans="1:18" x14ac:dyDescent="0.2">
      <c r="A6" s="6" t="s">
        <v>2</v>
      </c>
      <c r="B6" s="7"/>
      <c r="D6" s="6"/>
      <c r="E6" s="15" t="s">
        <v>30</v>
      </c>
      <c r="F6" s="15" t="s">
        <v>31</v>
      </c>
      <c r="G6" s="15" t="s">
        <v>32</v>
      </c>
      <c r="H6" s="15" t="s">
        <v>33</v>
      </c>
      <c r="I6" s="15" t="s">
        <v>34</v>
      </c>
      <c r="J6" s="15" t="s">
        <v>35</v>
      </c>
      <c r="L6" s="40" t="s">
        <v>86</v>
      </c>
    </row>
    <row r="7" spans="1:18" x14ac:dyDescent="0.2">
      <c r="A7" t="s">
        <v>3</v>
      </c>
      <c r="B7" s="8">
        <v>10.99</v>
      </c>
      <c r="D7" s="16" t="s">
        <v>36</v>
      </c>
      <c r="E7" s="17">
        <f>$B$26</f>
        <v>5000</v>
      </c>
      <c r="F7" s="17">
        <f>E7*(1+$B$32)</f>
        <v>7500</v>
      </c>
      <c r="G7" s="17">
        <f>F7*(1+$B$32)</f>
        <v>11250</v>
      </c>
      <c r="H7" s="17">
        <f>G7*(1+$B$32)</f>
        <v>16875</v>
      </c>
      <c r="I7" s="17">
        <f>H7*(1+$B$32)</f>
        <v>25312.5</v>
      </c>
      <c r="J7" s="17">
        <f>I7*(1+$B$13)</f>
        <v>26071.875</v>
      </c>
      <c r="L7" s="7"/>
      <c r="M7" s="15" t="s">
        <v>87</v>
      </c>
      <c r="N7" s="7"/>
      <c r="O7" s="7"/>
      <c r="P7" s="7"/>
      <c r="Q7" s="7"/>
      <c r="R7" s="7"/>
    </row>
    <row r="8" spans="1:18" x14ac:dyDescent="0.2">
      <c r="A8" t="s">
        <v>4</v>
      </c>
      <c r="B8" s="8">
        <v>59.99</v>
      </c>
      <c r="D8" t="s">
        <v>37</v>
      </c>
      <c r="E8" s="18">
        <f>$B$27</f>
        <v>500</v>
      </c>
      <c r="F8" s="18">
        <f>ROUND(E8*(1-$B$36)+F7*$B$33,0)</f>
        <v>1125</v>
      </c>
      <c r="G8" s="18">
        <f>ROUND(F8*(1-$B$36)+G7*$B$33,0)</f>
        <v>1969</v>
      </c>
      <c r="H8" s="18">
        <f>ROUND(G8*(1-$B$36)+H7*$B$33,0)</f>
        <v>3164</v>
      </c>
      <c r="I8" s="18">
        <f>ROUND(H8*(1-$B$36)+I7*$B$33,0)</f>
        <v>4904</v>
      </c>
      <c r="J8" s="18">
        <f>ROUND(I8*(1+$B$13),0)</f>
        <v>5051</v>
      </c>
      <c r="L8" s="6" t="s">
        <v>88</v>
      </c>
      <c r="M8" s="41">
        <v>0.01</v>
      </c>
      <c r="N8" s="41">
        <v>0.02</v>
      </c>
      <c r="O8" s="41">
        <v>0.03</v>
      </c>
      <c r="P8" s="41">
        <v>0.04</v>
      </c>
      <c r="Q8" s="41">
        <v>0.05</v>
      </c>
      <c r="R8" s="7"/>
    </row>
    <row r="9" spans="1:18" x14ac:dyDescent="0.2">
      <c r="A9" t="s">
        <v>5</v>
      </c>
      <c r="B9" s="8">
        <v>159.99</v>
      </c>
      <c r="D9" s="16" t="s">
        <v>38</v>
      </c>
      <c r="E9" s="17">
        <f>$B$28</f>
        <v>300</v>
      </c>
      <c r="F9" s="17">
        <f>ROUND(F7*$B$34,0)</f>
        <v>450</v>
      </c>
      <c r="G9" s="17">
        <f>ROUND(G7*$B$34,0)</f>
        <v>675</v>
      </c>
      <c r="H9" s="17">
        <f>ROUND(H7*$B$34,0)</f>
        <v>1013</v>
      </c>
      <c r="I9" s="17">
        <f>ROUND(I7*$B$34,0)</f>
        <v>1519</v>
      </c>
      <c r="J9" s="17">
        <f>ROUND(J7*$B$34,0)</f>
        <v>1564</v>
      </c>
      <c r="L9" s="42">
        <v>0.2</v>
      </c>
      <c r="M9" s="21">
        <f>$E$51+($I$39*(1+M8)/((0.2-M8)))*(1/(1+0.2)^5)</f>
        <v>1530366.0172452675</v>
      </c>
      <c r="N9" s="21">
        <f>$E$51+($I$39*(1+N8)/((0.2-N8)))*(1/(1+0.2)^5)</f>
        <v>1602106.3750742376</v>
      </c>
      <c r="O9" s="21">
        <f>$E$51+($I$39*(1+O8)/((0.2-O8)))*(1/(1+0.2)^5)</f>
        <v>1682286.7750007333</v>
      </c>
      <c r="P9" s="21">
        <f>$E$51+($I$39*(1+P8)/((0.2-P8)))*(1/(1+0.2)^5)</f>
        <v>1772489.7249180414</v>
      </c>
      <c r="Q9" s="21">
        <f>$E$51+($I$39*(1+Q8)/((0.2-Q8)))*(1/(1+0.2)^5)</f>
        <v>1874719.7348243236</v>
      </c>
    </row>
    <row r="10" spans="1:18" x14ac:dyDescent="0.2">
      <c r="D10" t="s">
        <v>39</v>
      </c>
      <c r="E10" s="18">
        <f>$B$29</f>
        <v>75</v>
      </c>
      <c r="F10" s="18">
        <f>ROUND(F7*$B$35,0)</f>
        <v>113</v>
      </c>
      <c r="G10" s="18">
        <f>ROUND(G7*$B$35,0)</f>
        <v>169</v>
      </c>
      <c r="H10" s="18">
        <f>ROUND(H7*$B$35,0)</f>
        <v>253</v>
      </c>
      <c r="I10" s="18">
        <f>ROUND(I7*$B$35,0)</f>
        <v>380</v>
      </c>
      <c r="J10" s="18">
        <f>ROUND(J7*$B$35,0)</f>
        <v>391</v>
      </c>
      <c r="L10" s="42">
        <v>0.25</v>
      </c>
      <c r="M10" s="21">
        <f>$E$51+($I$39*(1+M8)/((0.25-M8)))*(1/(1+0.25)^5)</f>
        <v>1145075.5506571201</v>
      </c>
      <c r="N10" s="21">
        <f>$E$51+($I$39*(1+N8)/((0.25-N8)))*(1/(1+0.25)^5)</f>
        <v>1182827.1625017575</v>
      </c>
      <c r="O10" s="21">
        <f>$E$51+($I$39*(1+O8)/((0.25-O8)))*(1/(1+0.25)^5)</f>
        <v>1224010.7390595444</v>
      </c>
      <c r="P10" s="21">
        <f>$E$51+($I$39*(1+P8)/((0.25-P8)))*(1/(1+0.25)^5)</f>
        <v>1269116.5610037867</v>
      </c>
      <c r="Q10" s="21">
        <f>$E$51+($I$39*(1+Q8)/((0.25-Q8)))*(1/(1+0.25)^5)</f>
        <v>1318732.9651424536</v>
      </c>
    </row>
    <row r="11" spans="1:18" x14ac:dyDescent="0.2">
      <c r="A11" s="6" t="s">
        <v>6</v>
      </c>
      <c r="B11" s="7"/>
      <c r="D11" s="6" t="s">
        <v>40</v>
      </c>
      <c r="E11" s="19">
        <f>E8+E9+E10</f>
        <v>875</v>
      </c>
      <c r="F11" s="19">
        <f>F8+F9+F10</f>
        <v>1688</v>
      </c>
      <c r="G11" s="19">
        <f>G8+G9+G10</f>
        <v>2813</v>
      </c>
      <c r="H11" s="19">
        <f>H8+H9+H10</f>
        <v>4430</v>
      </c>
      <c r="I11" s="19">
        <f>I8+I9+I10</f>
        <v>6803</v>
      </c>
      <c r="J11" s="19">
        <f>J8+J9+J10</f>
        <v>7006</v>
      </c>
      <c r="L11" s="43">
        <v>0.3</v>
      </c>
      <c r="M11" s="21">
        <f>$E$51+($I$39*(1+M8)/((0.3-M8)))*(1/(1+0.3)^5)</f>
        <v>920722.46052630525</v>
      </c>
      <c r="N11" s="21">
        <f>$E$51+($I$39*(1+N8)/((0.3-N8)))*(1/(1+0.3)^5)</f>
        <v>942659.86235469673</v>
      </c>
      <c r="O11" s="44">
        <f>$E$51+($I$39*(1+O8)/((0.3-O8)))*(1/(1+0.3)^5)</f>
        <v>966222.25691111712</v>
      </c>
      <c r="P11" s="21">
        <f>$E$51+($I$39*(1+P8)/((0.3-P8)))*(1/(1+0.3)^5)</f>
        <v>991597.14335649309</v>
      </c>
      <c r="Q11" s="21">
        <f>$E$51+($I$39*(1+Q8)/((0.3-Q8)))*(1/(1+0.3)^5)</f>
        <v>1019002.0207174992</v>
      </c>
    </row>
    <row r="12" spans="1:18" x14ac:dyDescent="0.2">
      <c r="A12" t="s">
        <v>7</v>
      </c>
      <c r="B12" s="9">
        <v>0.3</v>
      </c>
      <c r="L12" s="42">
        <v>0.35</v>
      </c>
      <c r="M12" s="21">
        <f>$E$51+($I$39*(1+M8)/((0.35-M8)))*(1/(1+0.35)^5)</f>
        <v>780544.87102324632</v>
      </c>
      <c r="N12" s="21">
        <f>$E$51+($I$39*(1+N8)/((0.35-N8)))*(1/(1+0.35)^5)</f>
        <v>794196.56982604484</v>
      </c>
      <c r="O12" s="21">
        <f>$E$51+($I$39*(1+O8)/((0.35-O8)))*(1/(1+0.35)^5)</f>
        <v>808701.49980401841</v>
      </c>
      <c r="P12" s="21">
        <f>$E$51+($I$39*(1+P8)/((0.35-P8)))*(1/(1+0.35)^5)</f>
        <v>824142.23171605472</v>
      </c>
      <c r="Q12" s="21">
        <f>$E$51+($I$39*(1+Q8)/((0.35-Q8)))*(1/(1+0.35)^5)</f>
        <v>840612.34575556032</v>
      </c>
    </row>
    <row r="13" spans="1:18" x14ac:dyDescent="0.2">
      <c r="A13" t="s">
        <v>8</v>
      </c>
      <c r="B13" s="9">
        <v>0.03</v>
      </c>
      <c r="D13" s="3" t="s">
        <v>41</v>
      </c>
      <c r="E13" s="4"/>
      <c r="F13" s="4"/>
      <c r="G13" s="4"/>
      <c r="H13" s="4"/>
      <c r="I13" s="4"/>
      <c r="J13" s="4"/>
      <c r="L13" s="42">
        <v>0.4</v>
      </c>
      <c r="M13" s="21">
        <f>$E$51+($I$39*(1+M8)/((0.4-M8)))*(1/(1+0.4)^5)</f>
        <v>688479.92716497788</v>
      </c>
      <c r="N13" s="21">
        <f>$E$51+($I$39*(1+N8)/((0.4-N8)))*(1/(1+0.4)^5)</f>
        <v>697416.15601959091</v>
      </c>
      <c r="O13" s="21">
        <f>$E$51+($I$39*(1+O8)/((0.4-O8)))*(1/(1+0.4)^5)</f>
        <v>706835.4242717505</v>
      </c>
      <c r="P13" s="21">
        <f>$E$51+($I$39*(1+P8)/((0.4-P8)))*(1/(1+0.4)^5)</f>
        <v>716777.98520458571</v>
      </c>
      <c r="Q13" s="21">
        <f>$E$51+($I$39*(1+Q8)/((0.4-Q8)))*(1/(1+0.4)^5)</f>
        <v>727288.6924764401</v>
      </c>
    </row>
    <row r="14" spans="1:18" x14ac:dyDescent="0.2">
      <c r="A14" t="s">
        <v>9</v>
      </c>
      <c r="B14" s="9">
        <v>0.1</v>
      </c>
      <c r="D14" s="6"/>
      <c r="E14" s="15" t="s">
        <v>30</v>
      </c>
      <c r="F14" s="15" t="s">
        <v>31</v>
      </c>
      <c r="G14" s="15" t="s">
        <v>32</v>
      </c>
      <c r="H14" s="15" t="s">
        <v>33</v>
      </c>
      <c r="I14" s="15" t="s">
        <v>34</v>
      </c>
      <c r="J14" s="15" t="s">
        <v>35</v>
      </c>
    </row>
    <row r="15" spans="1:18" x14ac:dyDescent="0.2">
      <c r="D15" s="16" t="s">
        <v>42</v>
      </c>
      <c r="E15" s="20">
        <f>E8*$B$7*12</f>
        <v>65940</v>
      </c>
      <c r="F15" s="20">
        <f>F8*$B$7*12</f>
        <v>148365</v>
      </c>
      <c r="G15" s="20">
        <f>G8*$B$7*12</f>
        <v>259671.72000000003</v>
      </c>
      <c r="H15" s="20">
        <f>H8*$B$7*12</f>
        <v>417268.32</v>
      </c>
      <c r="I15" s="20">
        <f>I8*$B$7*12</f>
        <v>646739.52</v>
      </c>
      <c r="J15" s="20">
        <f>J8*$B$7*12</f>
        <v>666125.88</v>
      </c>
      <c r="L15" s="46" t="s">
        <v>89</v>
      </c>
    </row>
    <row r="16" spans="1:18" x14ac:dyDescent="0.2">
      <c r="A16" s="6" t="s">
        <v>10</v>
      </c>
      <c r="B16" s="7"/>
      <c r="D16" t="s">
        <v>43</v>
      </c>
      <c r="E16" s="21">
        <f>E9*$B$8</f>
        <v>17997</v>
      </c>
      <c r="F16" s="21">
        <f>F9*$B$8</f>
        <v>26995.5</v>
      </c>
      <c r="G16" s="21">
        <f>G9*$B$8</f>
        <v>40493.25</v>
      </c>
      <c r="H16" s="21">
        <f>H9*$B$8</f>
        <v>60769.87</v>
      </c>
      <c r="I16" s="21">
        <f>I9*$B$8</f>
        <v>91124.81</v>
      </c>
      <c r="J16" s="21">
        <f>J9*$B$8</f>
        <v>93824.36</v>
      </c>
    </row>
    <row r="17" spans="1:18" x14ac:dyDescent="0.2">
      <c r="A17" t="s">
        <v>11</v>
      </c>
      <c r="B17" s="10">
        <v>1200</v>
      </c>
      <c r="D17" s="16" t="s">
        <v>44</v>
      </c>
      <c r="E17" s="20">
        <f>E10*$B$9</f>
        <v>11999.25</v>
      </c>
      <c r="F17" s="20">
        <f>F10*$B$9</f>
        <v>18078.870000000003</v>
      </c>
      <c r="G17" s="20">
        <f>G10*$B$9</f>
        <v>27038.31</v>
      </c>
      <c r="H17" s="20">
        <f>H10*$B$9</f>
        <v>40477.47</v>
      </c>
      <c r="I17" s="20">
        <f>I10*$B$9</f>
        <v>60796.200000000004</v>
      </c>
      <c r="J17" s="20">
        <f>J10*$B$9</f>
        <v>62556.090000000004</v>
      </c>
    </row>
    <row r="18" spans="1:18" x14ac:dyDescent="0.2">
      <c r="A18" t="s">
        <v>12</v>
      </c>
      <c r="B18" s="10">
        <v>6000</v>
      </c>
      <c r="D18" s="6" t="s">
        <v>45</v>
      </c>
      <c r="E18" s="22">
        <f>SUM(E15:E17)</f>
        <v>95936.25</v>
      </c>
      <c r="F18" s="22">
        <f>SUM(F15:F17)</f>
        <v>193439.37</v>
      </c>
      <c r="G18" s="22">
        <f>SUM(G15:G17)</f>
        <v>327203.28000000003</v>
      </c>
      <c r="H18" s="22">
        <f>SUM(H15:H17)</f>
        <v>518515.66000000003</v>
      </c>
      <c r="I18" s="22">
        <f>SUM(I15:I17)</f>
        <v>798660.53</v>
      </c>
      <c r="J18" s="22">
        <f>SUM(J15:J17)</f>
        <v>822506.33</v>
      </c>
      <c r="L18" s="3" t="s">
        <v>90</v>
      </c>
      <c r="M18" s="4"/>
      <c r="N18" s="4"/>
      <c r="O18" s="4"/>
      <c r="P18" s="4"/>
      <c r="Q18" s="4"/>
      <c r="R18" s="4"/>
    </row>
    <row r="19" spans="1:18" x14ac:dyDescent="0.2">
      <c r="A19" t="s">
        <v>13</v>
      </c>
      <c r="B19" s="10">
        <v>2400</v>
      </c>
      <c r="D19" s="23" t="s">
        <v>46</v>
      </c>
      <c r="E19" s="24">
        <f>-E18*$B$14</f>
        <v>-9593.625</v>
      </c>
      <c r="F19" s="24">
        <f>-F18*$B$14</f>
        <v>-19343.937000000002</v>
      </c>
      <c r="G19" s="24">
        <f>-G18*$B$14</f>
        <v>-32720.328000000005</v>
      </c>
      <c r="H19" s="24">
        <f>-H18*$B$14</f>
        <v>-51851.566000000006</v>
      </c>
      <c r="I19" s="24">
        <f>-I18*$B$14</f>
        <v>-79866.053000000014</v>
      </c>
      <c r="J19" s="24">
        <f>-J18*$B$14</f>
        <v>-82250.633000000002</v>
      </c>
      <c r="L19" s="12" t="s">
        <v>91</v>
      </c>
    </row>
    <row r="20" spans="1:18" x14ac:dyDescent="0.2">
      <c r="A20" t="s">
        <v>14</v>
      </c>
      <c r="B20" s="10">
        <v>12000</v>
      </c>
      <c r="D20" s="25" t="s">
        <v>47</v>
      </c>
      <c r="E20" s="26">
        <f>E18+E19</f>
        <v>86342.625</v>
      </c>
      <c r="F20" s="26">
        <f>F18+F19</f>
        <v>174095.43299999999</v>
      </c>
      <c r="G20" s="26">
        <f>G18+G19</f>
        <v>294482.95200000005</v>
      </c>
      <c r="H20" s="26">
        <f>H18+H19</f>
        <v>466664.09400000004</v>
      </c>
      <c r="I20" s="26">
        <f>I18+I19</f>
        <v>718794.47699999996</v>
      </c>
      <c r="J20" s="26">
        <f>J18+J19</f>
        <v>740255.69699999993</v>
      </c>
      <c r="L20" s="7"/>
      <c r="M20" s="15" t="s">
        <v>92</v>
      </c>
      <c r="N20" s="7"/>
      <c r="O20" s="7"/>
      <c r="P20" s="7"/>
      <c r="Q20" s="7"/>
      <c r="R20" s="7"/>
    </row>
    <row r="21" spans="1:18" x14ac:dyDescent="0.2">
      <c r="A21" t="s">
        <v>15</v>
      </c>
      <c r="B21" s="11">
        <f>SUM(B17:B20)</f>
        <v>21600</v>
      </c>
      <c r="D21" s="12" t="s">
        <v>48</v>
      </c>
      <c r="E21" s="27" t="s">
        <v>49</v>
      </c>
      <c r="F21" s="28">
        <f>(F20-E20)/E20</f>
        <v>1.0163324082398466</v>
      </c>
      <c r="G21" s="28">
        <f>(G20-F20)/F20</f>
        <v>0.69150302753777615</v>
      </c>
      <c r="H21" s="28">
        <f>(H20-G20)/G20</f>
        <v>0.5846896767049522</v>
      </c>
      <c r="I21" s="28">
        <f>(I20-H20)/H20</f>
        <v>0.54028237064238305</v>
      </c>
      <c r="J21" s="28">
        <f>(J20-I20)/I20</f>
        <v>2.9857241098417586E-2</v>
      </c>
      <c r="L21" s="6" t="s">
        <v>93</v>
      </c>
      <c r="M21" s="41">
        <v>0.05</v>
      </c>
      <c r="N21" s="41">
        <v>0.08</v>
      </c>
      <c r="O21" s="41">
        <v>0.1</v>
      </c>
      <c r="P21" s="41">
        <v>0.12</v>
      </c>
      <c r="Q21" s="41">
        <v>0.15</v>
      </c>
      <c r="R21" s="7"/>
    </row>
    <row r="22" spans="1:18" x14ac:dyDescent="0.2">
      <c r="A22" t="s">
        <v>16</v>
      </c>
      <c r="B22" s="9">
        <v>0.15</v>
      </c>
      <c r="L22" s="42">
        <v>0.3</v>
      </c>
      <c r="M22" s="21">
        <f>($B$26*(1+0.3)^4*M21*$B$7*12+$B$26*(1+0.3)^4*$B$34*$B$8+$B$26*(1+0.3)^4*$B$35*$B$9)*0.9</f>
        <v>161854.11596250004</v>
      </c>
      <c r="N22" s="21">
        <f>($B$26*(1+0.3)^4*N21*$B$7*12+$B$26*(1+0.3)^4*$B$34*$B$8+$B$26*(1+0.3)^4*$B$35*$B$9)*0.9</f>
        <v>212703.54914250004</v>
      </c>
      <c r="O22" s="21">
        <f>($B$26*(1+0.3)^4*O21*$B$7*12+$B$26*(1+0.3)^4*$B$34*$B$8+$B$26*(1+0.3)^4*$B$35*$B$9)*0.9</f>
        <v>246603.17126250002</v>
      </c>
      <c r="P22" s="21">
        <f>($B$26*(1+0.3)^4*P21*$B$7*12+$B$26*(1+0.3)^4*$B$34*$B$8+$B$26*(1+0.3)^4*$B$35*$B$9)*0.9</f>
        <v>280502.79338250001</v>
      </c>
      <c r="Q22" s="21">
        <f>($B$26*(1+0.3)^4*Q21*$B$7*12+$B$26*(1+0.3)^4*$B$34*$B$8+$B$26*(1+0.3)^4*$B$35*$B$9)*0.9</f>
        <v>331352.2265625</v>
      </c>
    </row>
    <row r="23" spans="1:18" x14ac:dyDescent="0.2">
      <c r="D23" s="3" t="s">
        <v>50</v>
      </c>
      <c r="E23" s="4"/>
      <c r="F23" s="4"/>
      <c r="G23" s="4"/>
      <c r="H23" s="4"/>
      <c r="I23" s="4"/>
      <c r="J23" s="4"/>
      <c r="L23" s="42">
        <v>0.4</v>
      </c>
      <c r="M23" s="21">
        <f>($B$26*(1+0.4)^4*M21*$B$7*12+$B$26*(1+0.4)^4*$B$34*$B$8+$B$26*(1+0.4)^4*$B$35*$B$9)*0.9</f>
        <v>217702.03139999992</v>
      </c>
      <c r="N23" s="21">
        <f>($B$26*(1+0.4)^4*N21*$B$7*12+$B$26*(1+0.4)^4*$B$34*$B$8+$B$26*(1+0.4)^4*$B$35*$B$9)*0.9</f>
        <v>286097.10947999993</v>
      </c>
      <c r="O23" s="21">
        <f>($B$26*(1+0.4)^4*O21*$B$7*12+$B$26*(1+0.4)^4*$B$34*$B$8+$B$26*(1+0.4)^4*$B$35*$B$9)*0.9</f>
        <v>331693.82819999993</v>
      </c>
      <c r="P23" s="21">
        <f>($B$26*(1+0.4)^4*P21*$B$7*12+$B$26*(1+0.4)^4*$B$34*$B$8+$B$26*(1+0.4)^4*$B$35*$B$9)*0.9</f>
        <v>377290.54691999988</v>
      </c>
      <c r="Q23" s="21">
        <f>($B$26*(1+0.4)^4*Q21*$B$7*12+$B$26*(1+0.4)^4*$B$34*$B$8+$B$26*(1+0.4)^4*$B$35*$B$9)*0.9</f>
        <v>445685.62499999983</v>
      </c>
    </row>
    <row r="24" spans="1:18" x14ac:dyDescent="0.2">
      <c r="A24" s="6" t="s">
        <v>17</v>
      </c>
      <c r="B24" s="7"/>
      <c r="D24" s="7"/>
      <c r="E24" s="15" t="s">
        <v>30</v>
      </c>
      <c r="F24" s="15" t="s">
        <v>31</v>
      </c>
      <c r="G24" s="15" t="s">
        <v>32</v>
      </c>
      <c r="H24" s="15" t="s">
        <v>33</v>
      </c>
      <c r="I24" s="15" t="s">
        <v>34</v>
      </c>
      <c r="J24" s="15" t="s">
        <v>35</v>
      </c>
      <c r="L24" s="43">
        <v>0.5</v>
      </c>
      <c r="M24" s="21">
        <f>($B$26*(1+0.5)^4*M21*$B$7*12+$B$26*(1+0.5)^4*$B$34*$B$8+$B$26*(1+0.5)^4*$B$35*$B$9)*0.9</f>
        <v>286889.9765625</v>
      </c>
      <c r="N24" s="21">
        <f>($B$26*(1+0.5)^4*N21*$B$7*12+$B$26*(1+0.5)^4*$B$34*$B$8+$B$26*(1+0.5)^4*$B$35*$B$9)*0.9</f>
        <v>377021.71406249999</v>
      </c>
      <c r="O24" s="44">
        <f>($B$26*(1+0.5)^4*O21*$B$7*12+$B$26*(1+0.5)^4*$B$34*$B$8+$B$26*(1+0.5)^4*$B$35*$B$9)*0.9</f>
        <v>437109.5390625</v>
      </c>
      <c r="P24" s="21">
        <f>($B$26*(1+0.5)^4*P21*$B$7*12+$B$26*(1+0.5)^4*$B$34*$B$8+$B$26*(1+0.5)^4*$B$35*$B$9)*0.9</f>
        <v>497197.36406250001</v>
      </c>
      <c r="Q24" s="21">
        <f>($B$26*(1+0.5)^4*Q21*$B$7*12+$B$26*(1+0.5)^4*$B$34*$B$8+$B$26*(1+0.5)^4*$B$35*$B$9)*0.9</f>
        <v>587329.1015625</v>
      </c>
    </row>
    <row r="25" spans="1:18" x14ac:dyDescent="0.2">
      <c r="A25" s="12" t="s">
        <v>18</v>
      </c>
      <c r="D25" s="16" t="s">
        <v>51</v>
      </c>
      <c r="E25" s="20">
        <f>$B$17</f>
        <v>1200</v>
      </c>
      <c r="F25" s="20">
        <f>E25*(1+$B$22)</f>
        <v>1380</v>
      </c>
      <c r="G25" s="20">
        <f>F25*(1+$B$22)</f>
        <v>1586.9999999999998</v>
      </c>
      <c r="H25" s="20">
        <f>G25*(1+$B$22)</f>
        <v>1825.0499999999995</v>
      </c>
      <c r="I25" s="20">
        <f>H25*(1+$B$22)</f>
        <v>2098.8074999999994</v>
      </c>
      <c r="J25" s="20">
        <f>I25*(1+$B$13)</f>
        <v>2161.7717249999996</v>
      </c>
      <c r="L25" s="42">
        <v>0.6</v>
      </c>
      <c r="M25" s="21">
        <f>($B$26*(1+0.6)^4*M21*$B$7*12+$B$26*(1+0.6)^4*$B$34*$B$8+$B$26*(1+0.6)^4*$B$35*$B$9)*0.9</f>
        <v>371390.0544000002</v>
      </c>
      <c r="N25" s="21">
        <f>($B$26*(1+0.6)^4*N21*$B$7*12+$B$26*(1+0.6)^4*$B$34*$B$8+$B$26*(1+0.6)^4*$B$35*$B$9)*0.9</f>
        <v>488069.03808000032</v>
      </c>
      <c r="O25" s="21">
        <f>($B$26*(1+0.6)^4*O21*$B$7*12+$B$26*(1+0.6)^4*$B$34*$B$8+$B$26*(1+0.6)^4*$B$35*$B$9)*0.9</f>
        <v>565855.02720000024</v>
      </c>
      <c r="P25" s="21">
        <f>($B$26*(1+0.6)^4*P21*$B$7*12+$B$26*(1+0.6)^4*$B$34*$B$8+$B$26*(1+0.6)^4*$B$35*$B$9)*0.9</f>
        <v>643641.0163200004</v>
      </c>
      <c r="Q25" s="21">
        <f>($B$26*(1+0.6)^4*Q21*$B$7*12+$B$26*(1+0.6)^4*$B$34*$B$8+$B$26*(1+0.6)^4*$B$35*$B$9)*0.9</f>
        <v>760320.00000000035</v>
      </c>
    </row>
    <row r="26" spans="1:18" x14ac:dyDescent="0.2">
      <c r="A26" t="s">
        <v>19</v>
      </c>
      <c r="B26" s="13">
        <v>5000</v>
      </c>
      <c r="D26" t="s">
        <v>52</v>
      </c>
      <c r="E26" s="21">
        <f>$B$18</f>
        <v>6000</v>
      </c>
      <c r="F26" s="21">
        <f>E26*(1+$B$22)</f>
        <v>6899.9999999999991</v>
      </c>
      <c r="G26" s="21">
        <f>F26*(1+$B$22)</f>
        <v>7934.9999999999982</v>
      </c>
      <c r="H26" s="21">
        <f>G26*(1+$B$22)</f>
        <v>9125.2499999999964</v>
      </c>
      <c r="I26" s="21">
        <f>H26*(1+$B$22)</f>
        <v>10494.037499999995</v>
      </c>
      <c r="J26" s="21">
        <f>I26*(1+$B$13)</f>
        <v>10808.858624999995</v>
      </c>
      <c r="L26" s="42">
        <v>0.7</v>
      </c>
      <c r="M26" s="21">
        <f>($B$26*(1+0.7)^4*M21*$B$7*12+$B$26*(1+0.7)^4*$B$34*$B$8+$B$26*(1+0.7)^4*$B$35*$B$9)*0.9</f>
        <v>473310.37496249995</v>
      </c>
      <c r="N26" s="21">
        <f>($B$26*(1+0.7)^4*N21*$B$7*12+$B$26*(1+0.7)^4*$B$34*$B$8+$B$26*(1+0.7)^4*$B$35*$B$9)*0.9</f>
        <v>622009.49294249993</v>
      </c>
      <c r="O26" s="21">
        <f>($B$26*(1+0.7)^4*O21*$B$7*12+$B$26*(1+0.7)^4*$B$34*$B$8+$B$26*(1+0.7)^4*$B$35*$B$9)*0.9</f>
        <v>721142.23826249992</v>
      </c>
      <c r="P26" s="21">
        <f>($B$26*(1+0.7)^4*P21*$B$7*12+$B$26*(1+0.7)^4*$B$34*$B$8+$B$26*(1+0.7)^4*$B$35*$B$9)*0.9</f>
        <v>820274.9835824999</v>
      </c>
      <c r="Q26" s="21">
        <f>($B$26*(1+0.7)^4*Q21*$B$7*12+$B$26*(1+0.7)^4*$B$34*$B$8+$B$26*(1+0.7)^4*$B$35*$B$9)*0.9</f>
        <v>968974.1015625</v>
      </c>
    </row>
    <row r="27" spans="1:18" x14ac:dyDescent="0.2">
      <c r="A27" t="s">
        <v>20</v>
      </c>
      <c r="B27" s="13">
        <v>500</v>
      </c>
      <c r="D27" s="16" t="s">
        <v>53</v>
      </c>
      <c r="E27" s="20">
        <f>$B$19</f>
        <v>2400</v>
      </c>
      <c r="F27" s="20">
        <f>E27*(1+$B$22)</f>
        <v>2760</v>
      </c>
      <c r="G27" s="20">
        <f>F27*(1+$B$22)</f>
        <v>3173.9999999999995</v>
      </c>
      <c r="H27" s="20">
        <f>G27*(1+$B$22)</f>
        <v>3650.099999999999</v>
      </c>
      <c r="I27" s="20">
        <f>H27*(1+$B$22)</f>
        <v>4197.6149999999989</v>
      </c>
      <c r="J27" s="20">
        <f>I27*(1+$B$13)</f>
        <v>4323.5434499999992</v>
      </c>
    </row>
    <row r="28" spans="1:18" x14ac:dyDescent="0.2">
      <c r="A28" t="s">
        <v>21</v>
      </c>
      <c r="B28" s="13">
        <v>300</v>
      </c>
      <c r="D28" t="s">
        <v>54</v>
      </c>
      <c r="E28" s="21">
        <f>$B$20</f>
        <v>12000</v>
      </c>
      <c r="F28" s="21">
        <f>E28*(1+$B$22)</f>
        <v>13799.999999999998</v>
      </c>
      <c r="G28" s="21">
        <f>F28*(1+$B$22)</f>
        <v>15869.999999999996</v>
      </c>
      <c r="H28" s="21">
        <f>G28*(1+$B$22)</f>
        <v>18250.499999999993</v>
      </c>
      <c r="I28" s="21">
        <f>H28*(1+$B$22)</f>
        <v>20988.07499999999</v>
      </c>
      <c r="J28" s="21">
        <f>I28*(1+$B$13)</f>
        <v>21617.717249999991</v>
      </c>
      <c r="L28" s="46" t="s">
        <v>94</v>
      </c>
    </row>
    <row r="29" spans="1:18" x14ac:dyDescent="0.2">
      <c r="A29" t="s">
        <v>22</v>
      </c>
      <c r="B29" s="13">
        <v>75</v>
      </c>
      <c r="D29" s="29" t="s">
        <v>55</v>
      </c>
      <c r="E29" s="30">
        <f>SUM(E25:E28)</f>
        <v>21600</v>
      </c>
      <c r="F29" s="30">
        <f>SUM(F25:F28)</f>
        <v>24840</v>
      </c>
      <c r="G29" s="30">
        <f>SUM(G25:G28)</f>
        <v>28565.999999999993</v>
      </c>
      <c r="H29" s="30">
        <f>SUM(H25:H28)</f>
        <v>32850.899999999987</v>
      </c>
      <c r="I29" s="30">
        <f>SUM(I25:I28)</f>
        <v>37778.534999999982</v>
      </c>
      <c r="J29" s="30">
        <f>SUM(J25:J28)</f>
        <v>38911.891049999991</v>
      </c>
    </row>
    <row r="30" spans="1:18" x14ac:dyDescent="0.2">
      <c r="D30" s="12" t="s">
        <v>56</v>
      </c>
      <c r="E30" s="28">
        <f>E29/E20</f>
        <v>0.25016612594300902</v>
      </c>
      <c r="F30" s="28">
        <f>F29/F20</f>
        <v>0.14268036542922985</v>
      </c>
      <c r="G30" s="28">
        <f>G29/G20</f>
        <v>9.700391756464051E-2</v>
      </c>
      <c r="H30" s="28">
        <f>H29/H20</f>
        <v>7.0395173792822341E-2</v>
      </c>
      <c r="I30" s="28">
        <f>I29/I20</f>
        <v>5.2558187644505212E-2</v>
      </c>
      <c r="J30" s="28">
        <f>J29/J20</f>
        <v>5.2565473265111524E-2</v>
      </c>
    </row>
    <row r="31" spans="1:18" x14ac:dyDescent="0.2">
      <c r="A31" s="12" t="s">
        <v>23</v>
      </c>
      <c r="L31" s="3" t="s">
        <v>95</v>
      </c>
      <c r="M31" s="4"/>
      <c r="N31" s="4"/>
      <c r="O31" s="4"/>
      <c r="P31" s="4"/>
      <c r="Q31" s="4"/>
      <c r="R31" s="4"/>
    </row>
    <row r="32" spans="1:18" x14ac:dyDescent="0.2">
      <c r="A32" t="s">
        <v>24</v>
      </c>
      <c r="B32" s="14">
        <v>0.5</v>
      </c>
      <c r="D32" s="25" t="s">
        <v>57</v>
      </c>
      <c r="E32" s="26">
        <f>E20-E29</f>
        <v>64742.625</v>
      </c>
      <c r="F32" s="26">
        <f>F20-F29</f>
        <v>149255.43299999999</v>
      </c>
      <c r="G32" s="26">
        <f>G20-G29</f>
        <v>265916.95200000005</v>
      </c>
      <c r="H32" s="26">
        <f>H20-H29</f>
        <v>433813.19400000008</v>
      </c>
      <c r="I32" s="26">
        <f>I20-I29</f>
        <v>681015.94199999992</v>
      </c>
      <c r="J32" s="26">
        <f>J20-J29</f>
        <v>701343.80594999995</v>
      </c>
    </row>
    <row r="33" spans="1:18" x14ac:dyDescent="0.2">
      <c r="A33" t="s">
        <v>25</v>
      </c>
      <c r="B33" s="14">
        <v>0.1</v>
      </c>
      <c r="L33" s="7"/>
      <c r="M33" s="47" t="s">
        <v>96</v>
      </c>
      <c r="N33" s="48" t="s">
        <v>97</v>
      </c>
      <c r="O33" s="15" t="s">
        <v>98</v>
      </c>
      <c r="P33" s="7"/>
      <c r="Q33" s="7"/>
      <c r="R33" s="7"/>
    </row>
    <row r="34" spans="1:18" x14ac:dyDescent="0.2">
      <c r="A34" t="s">
        <v>26</v>
      </c>
      <c r="B34" s="14">
        <v>0.06</v>
      </c>
      <c r="D34" s="3" t="s">
        <v>58</v>
      </c>
      <c r="E34" s="4"/>
      <c r="F34" s="4"/>
      <c r="G34" s="4"/>
      <c r="H34" s="4"/>
      <c r="I34" s="4"/>
      <c r="J34" s="4"/>
      <c r="L34" s="49" t="s">
        <v>99</v>
      </c>
    </row>
    <row r="35" spans="1:18" x14ac:dyDescent="0.2">
      <c r="A35" t="s">
        <v>27</v>
      </c>
      <c r="B35" s="9">
        <v>1.4999999999999999E-2</v>
      </c>
      <c r="D35" s="7"/>
      <c r="E35" s="15" t="s">
        <v>30</v>
      </c>
      <c r="F35" s="15" t="s">
        <v>31</v>
      </c>
      <c r="G35" s="15" t="s">
        <v>32</v>
      </c>
      <c r="H35" s="15" t="s">
        <v>33</v>
      </c>
      <c r="I35" s="15" t="s">
        <v>34</v>
      </c>
      <c r="J35" s="15" t="s">
        <v>35</v>
      </c>
      <c r="L35" s="50" t="s">
        <v>24</v>
      </c>
      <c r="M35" s="51">
        <v>0.3</v>
      </c>
      <c r="N35" s="51">
        <v>0.5</v>
      </c>
      <c r="O35" s="51">
        <v>0.75</v>
      </c>
    </row>
    <row r="36" spans="1:18" x14ac:dyDescent="0.2">
      <c r="A36" t="s">
        <v>28</v>
      </c>
      <c r="B36" s="14">
        <v>0.25</v>
      </c>
      <c r="D36" s="16" t="s">
        <v>59</v>
      </c>
      <c r="E36" s="20">
        <f>E32</f>
        <v>64742.625</v>
      </c>
      <c r="F36" s="20">
        <f>F32</f>
        <v>149255.43299999999</v>
      </c>
      <c r="G36" s="20">
        <f>G32</f>
        <v>265916.95200000005</v>
      </c>
      <c r="H36" s="20">
        <f>H32</f>
        <v>433813.19400000008</v>
      </c>
      <c r="I36" s="20">
        <f>I32</f>
        <v>681015.94199999992</v>
      </c>
      <c r="J36" s="20">
        <f>J32</f>
        <v>701343.80594999995</v>
      </c>
      <c r="L36" t="s">
        <v>100</v>
      </c>
      <c r="M36" s="52">
        <v>0.06</v>
      </c>
      <c r="N36" s="52">
        <v>0.1</v>
      </c>
      <c r="O36" s="52">
        <v>0.15</v>
      </c>
    </row>
    <row r="37" spans="1:18" x14ac:dyDescent="0.2">
      <c r="D37" t="s">
        <v>60</v>
      </c>
      <c r="E37" s="31">
        <f>-E36*0.25</f>
        <v>-16185.65625</v>
      </c>
      <c r="F37" s="31">
        <f>-F36*0.25</f>
        <v>-37313.858249999997</v>
      </c>
      <c r="G37" s="31">
        <f>-G36*0.25</f>
        <v>-66479.238000000012</v>
      </c>
      <c r="H37" s="31">
        <f>-H36*0.25</f>
        <v>-108453.29850000002</v>
      </c>
      <c r="I37" s="31">
        <f>-I36*0.25</f>
        <v>-170253.98549999998</v>
      </c>
      <c r="J37" s="31">
        <f>-J36*0.25</f>
        <v>-175335.95148749999</v>
      </c>
      <c r="L37" s="16" t="s">
        <v>101</v>
      </c>
      <c r="M37" s="51">
        <v>0.04</v>
      </c>
      <c r="N37" s="51">
        <v>0.06</v>
      </c>
      <c r="O37" s="51">
        <v>0.08</v>
      </c>
    </row>
    <row r="38" spans="1:18" x14ac:dyDescent="0.2">
      <c r="D38" s="16" t="s">
        <v>61</v>
      </c>
      <c r="E38" s="32">
        <v>-500</v>
      </c>
      <c r="F38" s="32">
        <v>-750</v>
      </c>
      <c r="G38" s="32">
        <v>-1000</v>
      </c>
      <c r="H38" s="32">
        <v>-1500</v>
      </c>
      <c r="I38" s="32">
        <v>-2000</v>
      </c>
      <c r="J38" s="32">
        <v>-2000</v>
      </c>
      <c r="L38" t="s">
        <v>102</v>
      </c>
      <c r="M38" s="51">
        <v>0.35</v>
      </c>
      <c r="N38" s="52">
        <v>0.25</v>
      </c>
      <c r="O38" s="52">
        <v>0.15</v>
      </c>
    </row>
    <row r="39" spans="1:18" x14ac:dyDescent="0.2">
      <c r="A39" s="3" t="s">
        <v>73</v>
      </c>
      <c r="B39" s="4"/>
      <c r="D39" s="25" t="s">
        <v>62</v>
      </c>
      <c r="E39" s="26">
        <f>E36+E37+E38</f>
        <v>48056.96875</v>
      </c>
      <c r="F39" s="26">
        <f>F36+F37+F38</f>
        <v>111191.57475</v>
      </c>
      <c r="G39" s="26">
        <f>G36+G37+G38</f>
        <v>198437.71400000004</v>
      </c>
      <c r="H39" s="26">
        <f>H36+H37+H38</f>
        <v>323859.89550000004</v>
      </c>
      <c r="I39" s="26">
        <f>I36+I37+I38</f>
        <v>508761.95649999997</v>
      </c>
      <c r="J39" s="26">
        <f>J36+J37+J38</f>
        <v>524007.85446249996</v>
      </c>
      <c r="L39" s="16" t="s">
        <v>103</v>
      </c>
      <c r="M39" s="51">
        <v>0.35</v>
      </c>
      <c r="N39" s="51">
        <v>0.3</v>
      </c>
      <c r="O39" s="51">
        <v>0.25</v>
      </c>
    </row>
    <row r="40" spans="1:18" x14ac:dyDescent="0.2">
      <c r="A40" s="7" t="s">
        <v>74</v>
      </c>
      <c r="B40" s="22">
        <f>E53</f>
        <v>966222.25691111712</v>
      </c>
    </row>
    <row r="41" spans="1:18" x14ac:dyDescent="0.2">
      <c r="A41" s="16" t="s">
        <v>75</v>
      </c>
      <c r="B41" s="20">
        <f>I20</f>
        <v>718794.47699999996</v>
      </c>
      <c r="D41" s="16" t="s">
        <v>63</v>
      </c>
      <c r="E41" s="33">
        <f>1/(1+$B$12)^1</f>
        <v>0.76923076923076916</v>
      </c>
      <c r="F41" s="33">
        <f>1/(1+$B$12)^2</f>
        <v>0.59171597633136086</v>
      </c>
      <c r="G41" s="33">
        <f>1/(1+$B$12)^3</f>
        <v>0.45516613563950831</v>
      </c>
      <c r="H41" s="33">
        <f>1/(1+$B$12)^4</f>
        <v>0.35012779664577565</v>
      </c>
      <c r="I41" s="33">
        <f>1/(1+$B$12)^5</f>
        <v>0.26932907434290432</v>
      </c>
      <c r="J41" s="33">
        <f>1/(1+$B$12)^5</f>
        <v>0.26932907434290432</v>
      </c>
      <c r="L41" s="53" t="s">
        <v>104</v>
      </c>
    </row>
    <row r="42" spans="1:18" x14ac:dyDescent="0.2">
      <c r="A42" s="16" t="s">
        <v>76</v>
      </c>
      <c r="B42" s="20">
        <f>I32</f>
        <v>681015.94199999992</v>
      </c>
      <c r="D42" s="5" t="s">
        <v>64</v>
      </c>
      <c r="E42" s="11">
        <f>E39*E41</f>
        <v>36966.899038461532</v>
      </c>
      <c r="F42" s="11">
        <f>F39*F41</f>
        <v>65793.831213017736</v>
      </c>
      <c r="G42" s="11">
        <f>G39*G41</f>
        <v>90322.127446517974</v>
      </c>
      <c r="H42" s="11">
        <f>H39*H41</f>
        <v>113392.35163334616</v>
      </c>
      <c r="I42" s="11">
        <f>I39*I41</f>
        <v>137024.38680502994</v>
      </c>
      <c r="J42" s="5"/>
      <c r="L42" s="16" t="s">
        <v>105</v>
      </c>
      <c r="M42" s="20">
        <f>($B$26*(1+M35)^4*(M36*$B$7*12+M37*$B$8+$B$35*$B$9))*0.9</f>
        <v>163383.55751250003</v>
      </c>
      <c r="N42" s="20">
        <f>I20</f>
        <v>718794.47699999996</v>
      </c>
      <c r="O42" s="20">
        <f>($B$26*(1+O35)^4*(O36*$B$7*12+O37*$B$8+$B$35*$B$9))*0.9</f>
        <v>1138737.3231445313</v>
      </c>
    </row>
    <row r="43" spans="1:18" x14ac:dyDescent="0.2">
      <c r="A43" s="16" t="s">
        <v>77</v>
      </c>
      <c r="B43" s="20">
        <f>I39</f>
        <v>508761.95649999997</v>
      </c>
      <c r="L43" t="s">
        <v>106</v>
      </c>
      <c r="M43" s="21">
        <f>M42*0.92</f>
        <v>150312.87291150005</v>
      </c>
      <c r="N43" s="21">
        <f>I32</f>
        <v>681015.94199999992</v>
      </c>
      <c r="O43" s="21">
        <f>O42*0.95</f>
        <v>1081800.4569873046</v>
      </c>
    </row>
    <row r="44" spans="1:18" x14ac:dyDescent="0.2">
      <c r="D44" s="3" t="s">
        <v>65</v>
      </c>
      <c r="E44" s="4"/>
      <c r="F44" s="4"/>
      <c r="G44" s="4"/>
      <c r="H44" s="4"/>
      <c r="I44" s="4"/>
      <c r="J44" s="4"/>
      <c r="L44" s="34" t="s">
        <v>107</v>
      </c>
      <c r="M44" s="30">
        <f>(M43*0.75/0.05)*(1/(1+M39)^5)+M43*3.5</f>
        <v>1028922.0579544327</v>
      </c>
      <c r="N44" s="26">
        <f>E53</f>
        <v>966222.25691111712</v>
      </c>
      <c r="O44" s="22">
        <f>(O43*0.75/0.03)*(1/(1+O39)^5)+O43*4.5</f>
        <v>13730211.400082871</v>
      </c>
    </row>
    <row r="45" spans="1:18" x14ac:dyDescent="0.2">
      <c r="A45" s="6" t="s">
        <v>78</v>
      </c>
      <c r="B45" s="7"/>
      <c r="D45" s="12" t="s">
        <v>66</v>
      </c>
    </row>
    <row r="46" spans="1:18" x14ac:dyDescent="0.2">
      <c r="A46" s="16" t="s">
        <v>79</v>
      </c>
      <c r="B46" s="39">
        <f>B40/B41</f>
        <v>1.3442260448964429</v>
      </c>
      <c r="D46" s="16" t="s">
        <v>67</v>
      </c>
      <c r="J46" s="20">
        <f>I39*(1+$B$13)</f>
        <v>524024.81519499997</v>
      </c>
      <c r="L46" s="7" t="s">
        <v>108</v>
      </c>
      <c r="M46" s="54">
        <v>0.25</v>
      </c>
      <c r="N46" s="54">
        <v>0.5</v>
      </c>
      <c r="O46" s="54">
        <v>0.25</v>
      </c>
      <c r="P46" s="7"/>
      <c r="Q46" s="7"/>
      <c r="R46" s="7"/>
    </row>
    <row r="47" spans="1:18" x14ac:dyDescent="0.2">
      <c r="A47" s="16" t="s">
        <v>80</v>
      </c>
      <c r="B47" s="39">
        <f>B40/B42</f>
        <v>1.4187953575264722</v>
      </c>
      <c r="D47" t="s">
        <v>68</v>
      </c>
      <c r="J47" s="21">
        <f>J46/($B$12-$B$13)</f>
        <v>1940832.6488703701</v>
      </c>
      <c r="L47" s="25" t="s">
        <v>109</v>
      </c>
      <c r="M47" s="26">
        <f>M44*M46+N44*N46+O44*O46</f>
        <v>4172894.4929648843</v>
      </c>
      <c r="N47" s="38"/>
      <c r="O47" s="38"/>
      <c r="P47" s="38"/>
      <c r="Q47" s="38"/>
      <c r="R47" s="38"/>
    </row>
    <row r="48" spans="1:18" x14ac:dyDescent="0.2">
      <c r="A48" s="16" t="s">
        <v>81</v>
      </c>
      <c r="B48" s="39">
        <f>B40/B43</f>
        <v>1.8991637337787406</v>
      </c>
      <c r="D48" s="6" t="s">
        <v>69</v>
      </c>
      <c r="J48" s="22">
        <f>J47*I41</f>
        <v>522722.66077474382</v>
      </c>
    </row>
    <row r="50" spans="1:18" x14ac:dyDescent="0.2">
      <c r="A50" s="16" t="s">
        <v>82</v>
      </c>
      <c r="B50" s="28">
        <f>(I20/E20)^(1/4)-1</f>
        <v>0.69861467132277255</v>
      </c>
      <c r="D50" s="3" t="s">
        <v>70</v>
      </c>
      <c r="E50" s="4"/>
      <c r="F50" s="4"/>
      <c r="G50" s="4"/>
      <c r="H50" s="4"/>
      <c r="I50" s="4"/>
      <c r="J50" s="4"/>
      <c r="L50" s="3" t="s">
        <v>171</v>
      </c>
      <c r="M50" s="4"/>
      <c r="N50" s="4"/>
      <c r="O50" s="4"/>
      <c r="P50" s="4"/>
      <c r="Q50" s="4"/>
      <c r="R50" s="4"/>
    </row>
    <row r="51" spans="1:18" x14ac:dyDescent="0.2">
      <c r="A51" s="16" t="s">
        <v>83</v>
      </c>
      <c r="B51" s="28">
        <f>(I32/E32)^(1/4)-1</f>
        <v>0.80090889705928725</v>
      </c>
      <c r="D51" s="16" t="s">
        <v>71</v>
      </c>
      <c r="E51" s="35">
        <f>SUM(E42:I42)</f>
        <v>443499.59613637335</v>
      </c>
    </row>
    <row r="52" spans="1:18" x14ac:dyDescent="0.2">
      <c r="A52" s="16" t="s">
        <v>84</v>
      </c>
      <c r="B52" s="28">
        <f>I32/I20</f>
        <v>0.94744181235549474</v>
      </c>
      <c r="D52" s="16" t="s">
        <v>69</v>
      </c>
      <c r="E52" s="35">
        <f>J48</f>
        <v>522722.66077474382</v>
      </c>
      <c r="L52" s="7"/>
      <c r="M52" s="47" t="s">
        <v>172</v>
      </c>
      <c r="N52" s="48" t="s">
        <v>173</v>
      </c>
      <c r="O52" s="15" t="s">
        <v>174</v>
      </c>
      <c r="P52" s="7"/>
      <c r="Q52" s="7"/>
      <c r="R52" s="7"/>
    </row>
    <row r="53" spans="1:18" ht="19" x14ac:dyDescent="0.25">
      <c r="D53" s="36" t="s">
        <v>72</v>
      </c>
      <c r="E53" s="37">
        <f>E51+E52</f>
        <v>966222.25691111712</v>
      </c>
      <c r="F53" s="38"/>
      <c r="G53" s="38"/>
      <c r="H53" s="38"/>
      <c r="I53" s="38"/>
      <c r="J53" s="38"/>
      <c r="L53" s="49" t="s">
        <v>175</v>
      </c>
      <c r="M53" s="45" t="s">
        <v>176</v>
      </c>
      <c r="N53" s="45" t="s">
        <v>177</v>
      </c>
      <c r="O53" s="45" t="s">
        <v>178</v>
      </c>
    </row>
    <row r="55" spans="1:18" ht="19" x14ac:dyDescent="0.25">
      <c r="A55" s="55" t="s">
        <v>110</v>
      </c>
      <c r="B55" s="4"/>
      <c r="C55" s="4"/>
      <c r="D55" s="4"/>
      <c r="E55" s="4"/>
      <c r="F55" s="4"/>
      <c r="G55" s="4"/>
      <c r="H55" s="4"/>
      <c r="I55" s="4"/>
      <c r="J55" s="4"/>
      <c r="L55" s="49" t="s">
        <v>99</v>
      </c>
    </row>
    <row r="56" spans="1:18" x14ac:dyDescent="0.2">
      <c r="L56" s="16" t="s">
        <v>24</v>
      </c>
      <c r="M56" s="51">
        <v>0.2</v>
      </c>
      <c r="N56" s="51">
        <v>1</v>
      </c>
      <c r="O56" s="51">
        <v>0.35</v>
      </c>
      <c r="P56" s="16"/>
      <c r="Q56" s="16"/>
      <c r="R56" s="16"/>
    </row>
    <row r="57" spans="1:18" x14ac:dyDescent="0.2">
      <c r="A57" s="6" t="s">
        <v>111</v>
      </c>
      <c r="B57" s="15" t="s">
        <v>112</v>
      </c>
      <c r="C57" s="15" t="s">
        <v>113</v>
      </c>
      <c r="D57" s="15" t="s">
        <v>114</v>
      </c>
      <c r="E57" s="15" t="s">
        <v>115</v>
      </c>
      <c r="F57" s="7"/>
      <c r="G57" s="7"/>
      <c r="H57" s="7"/>
      <c r="I57" s="7"/>
      <c r="J57" s="7"/>
      <c r="L57" t="s">
        <v>100</v>
      </c>
      <c r="M57" s="52">
        <v>0.05</v>
      </c>
      <c r="N57" s="52">
        <v>0.12</v>
      </c>
      <c r="O57" s="52">
        <v>0.06</v>
      </c>
    </row>
    <row r="58" spans="1:18" x14ac:dyDescent="0.2">
      <c r="A58" s="34" t="s">
        <v>116</v>
      </c>
      <c r="B58" s="57">
        <v>0.5</v>
      </c>
      <c r="C58" s="58" t="s">
        <v>117</v>
      </c>
      <c r="D58" s="16" t="s">
        <v>118</v>
      </c>
      <c r="E58" s="16" t="s">
        <v>119</v>
      </c>
      <c r="F58" s="16"/>
      <c r="G58" s="16"/>
      <c r="H58" s="16"/>
      <c r="I58" s="16"/>
      <c r="J58" s="16"/>
      <c r="L58" s="16" t="s">
        <v>101</v>
      </c>
      <c r="M58" s="51">
        <v>0.03</v>
      </c>
      <c r="N58" s="51">
        <v>0.08</v>
      </c>
      <c r="O58" s="51">
        <v>0.1</v>
      </c>
      <c r="P58" s="16"/>
      <c r="Q58" s="16"/>
      <c r="R58" s="16"/>
    </row>
    <row r="59" spans="1:18" x14ac:dyDescent="0.2">
      <c r="A59" t="s">
        <v>120</v>
      </c>
      <c r="B59" s="59">
        <v>0.1</v>
      </c>
      <c r="C59" s="60" t="s">
        <v>121</v>
      </c>
      <c r="D59" t="s">
        <v>122</v>
      </c>
      <c r="E59" t="s">
        <v>123</v>
      </c>
      <c r="L59" t="s">
        <v>179</v>
      </c>
      <c r="M59" s="52">
        <v>0.01</v>
      </c>
      <c r="N59" s="28">
        <v>1.4999999999999999E-2</v>
      </c>
      <c r="O59" s="52">
        <v>0.04</v>
      </c>
    </row>
    <row r="60" spans="1:18" x14ac:dyDescent="0.2">
      <c r="A60" s="16" t="s">
        <v>124</v>
      </c>
      <c r="B60" s="57">
        <v>0.25</v>
      </c>
      <c r="C60" s="61" t="s">
        <v>125</v>
      </c>
      <c r="D60" s="16" t="s">
        <v>126</v>
      </c>
      <c r="E60" s="16" t="s">
        <v>127</v>
      </c>
      <c r="F60" s="16"/>
      <c r="G60" s="16"/>
      <c r="H60" s="16"/>
      <c r="I60" s="16"/>
      <c r="J60" s="16"/>
      <c r="L60" s="16" t="s">
        <v>180</v>
      </c>
      <c r="M60" s="51">
        <v>0</v>
      </c>
      <c r="N60" s="51">
        <v>0</v>
      </c>
      <c r="O60" s="51">
        <v>0.25</v>
      </c>
      <c r="P60" s="16"/>
      <c r="Q60" s="16"/>
      <c r="R60" s="16"/>
    </row>
    <row r="61" spans="1:18" x14ac:dyDescent="0.2">
      <c r="A61" t="s">
        <v>128</v>
      </c>
      <c r="B61" s="62">
        <v>59.99</v>
      </c>
      <c r="C61" s="63" t="s">
        <v>125</v>
      </c>
      <c r="D61" t="s">
        <v>129</v>
      </c>
      <c r="E61" t="s">
        <v>130</v>
      </c>
    </row>
    <row r="62" spans="1:18" x14ac:dyDescent="0.2">
      <c r="A62" s="16" t="s">
        <v>131</v>
      </c>
      <c r="B62" s="64">
        <v>1.4999999999999999E-2</v>
      </c>
      <c r="C62" s="61" t="s">
        <v>132</v>
      </c>
      <c r="D62" s="16" t="s">
        <v>133</v>
      </c>
      <c r="E62" s="16" t="s">
        <v>134</v>
      </c>
      <c r="F62" s="16"/>
      <c r="G62" s="16"/>
      <c r="H62" s="16"/>
      <c r="I62" s="16"/>
      <c r="J62" s="16"/>
      <c r="L62" s="53" t="s">
        <v>104</v>
      </c>
    </row>
    <row r="63" spans="1:18" x14ac:dyDescent="0.2">
      <c r="L63" s="16" t="s">
        <v>105</v>
      </c>
      <c r="M63" s="20">
        <f>($B$26*(1+M56)^4*(M57*$B$7*12+M58*$B$8+M59*$B$9))*(1+M60)*0.9</f>
        <v>93252.280319999991</v>
      </c>
      <c r="N63" s="20">
        <f>($B$26*(1+N56)^4*(N57*$B$7*12+N58*$B$8+N59*$B$9))*(1+N60)*0.9</f>
        <v>1657774.8</v>
      </c>
      <c r="O63" s="20">
        <f>($B$26*(1+O56)^4*(O57*$B$7*12+O58*$B$8+O59*$B$9))*(1+O60)*0.9</f>
        <v>379487.4865101563</v>
      </c>
      <c r="P63" s="16"/>
      <c r="Q63" s="16"/>
      <c r="R63" s="16"/>
    </row>
    <row r="64" spans="1:18" x14ac:dyDescent="0.2">
      <c r="A64" s="6" t="s">
        <v>135</v>
      </c>
      <c r="B64" s="7"/>
      <c r="C64" s="7"/>
      <c r="D64" s="7"/>
      <c r="E64" s="7"/>
      <c r="F64" s="7"/>
      <c r="G64" s="7"/>
      <c r="H64" s="7"/>
      <c r="I64" s="7"/>
      <c r="J64" s="7"/>
      <c r="L64" t="s">
        <v>106</v>
      </c>
      <c r="M64" s="21">
        <f>M63*0.88</f>
        <v>82062.006681599989</v>
      </c>
      <c r="N64" s="21">
        <f>N63*0.93</f>
        <v>1541730.564</v>
      </c>
      <c r="O64" s="21">
        <f>O63*0.92</f>
        <v>349128.4875893438</v>
      </c>
    </row>
    <row r="65" spans="1:18" x14ac:dyDescent="0.2">
      <c r="A65" s="5" t="s">
        <v>136</v>
      </c>
      <c r="B65" s="65" t="s">
        <v>137</v>
      </c>
      <c r="C65" s="65" t="s">
        <v>138</v>
      </c>
      <c r="D65" s="65" t="s">
        <v>139</v>
      </c>
      <c r="L65" s="34" t="s">
        <v>107</v>
      </c>
      <c r="M65" s="30">
        <f>(M64*0.75/0.08)*(1/(1+0.35)^5)+M64*2.5</f>
        <v>376726.28693719604</v>
      </c>
      <c r="N65" s="26">
        <f>(N64*0.75/0.04)*(1/(1+0.25)^5)+N64*5</f>
        <v>17181045.405216001</v>
      </c>
      <c r="O65" s="22">
        <f>(O64*0.75/0.05)*(1/(1+0.28)^5)+O64*4</f>
        <v>2920660.396919793</v>
      </c>
      <c r="P65" s="16"/>
      <c r="Q65" s="16"/>
      <c r="R65" s="16"/>
    </row>
    <row r="66" spans="1:18" x14ac:dyDescent="0.2">
      <c r="A66" s="16" t="s">
        <v>140</v>
      </c>
      <c r="B66" s="56" t="s">
        <v>141</v>
      </c>
      <c r="C66" s="56" t="s">
        <v>142</v>
      </c>
      <c r="D66" s="56" t="s">
        <v>143</v>
      </c>
      <c r="E66" s="16"/>
      <c r="F66" s="16"/>
      <c r="G66" s="16"/>
      <c r="H66" s="16"/>
      <c r="I66" s="16"/>
      <c r="J66" s="16"/>
    </row>
    <row r="67" spans="1:18" x14ac:dyDescent="0.2">
      <c r="A67" t="s">
        <v>144</v>
      </c>
      <c r="B67" s="27" t="s">
        <v>145</v>
      </c>
      <c r="C67" s="27" t="s">
        <v>146</v>
      </c>
      <c r="D67" s="27" t="s">
        <v>147</v>
      </c>
    </row>
    <row r="68" spans="1:18" x14ac:dyDescent="0.2">
      <c r="A68" s="16" t="s">
        <v>148</v>
      </c>
      <c r="B68" s="56" t="s">
        <v>149</v>
      </c>
      <c r="C68" s="56" t="s">
        <v>150</v>
      </c>
      <c r="D68" s="56" t="s">
        <v>151</v>
      </c>
      <c r="E68" s="16"/>
      <c r="F68" s="16"/>
      <c r="G68" s="16"/>
      <c r="H68" s="16"/>
      <c r="I68" s="16"/>
      <c r="J68" s="16"/>
      <c r="L68" s="3" t="s">
        <v>198</v>
      </c>
      <c r="M68" s="4"/>
      <c r="N68" s="4"/>
      <c r="O68" s="4"/>
      <c r="P68" s="4"/>
      <c r="Q68" s="4"/>
      <c r="R68" s="4"/>
    </row>
    <row r="69" spans="1:18" x14ac:dyDescent="0.2">
      <c r="A69" t="s">
        <v>152</v>
      </c>
      <c r="B69" s="27" t="s">
        <v>153</v>
      </c>
      <c r="C69" s="27" t="s">
        <v>154</v>
      </c>
      <c r="D69" s="27" t="s">
        <v>31</v>
      </c>
    </row>
    <row r="70" spans="1:18" x14ac:dyDescent="0.2">
      <c r="A70" s="16" t="s">
        <v>155</v>
      </c>
      <c r="B70" s="56" t="s">
        <v>156</v>
      </c>
      <c r="C70" s="56" t="s">
        <v>157</v>
      </c>
      <c r="D70" s="56" t="s">
        <v>30</v>
      </c>
      <c r="E70" s="16"/>
      <c r="F70" s="16"/>
      <c r="G70" s="16"/>
      <c r="H70" s="16"/>
      <c r="I70" s="16"/>
      <c r="J70" s="16"/>
      <c r="L70" s="7"/>
      <c r="M70" s="15" t="s">
        <v>30</v>
      </c>
      <c r="N70" s="15" t="s">
        <v>31</v>
      </c>
      <c r="O70" s="15" t="s">
        <v>32</v>
      </c>
      <c r="P70" s="15" t="s">
        <v>33</v>
      </c>
      <c r="Q70" s="15" t="s">
        <v>34</v>
      </c>
      <c r="R70" s="7"/>
    </row>
    <row r="71" spans="1:18" x14ac:dyDescent="0.2">
      <c r="L71" t="s">
        <v>199</v>
      </c>
      <c r="M71" s="18">
        <f>E20/1000</f>
        <v>86.342624999999998</v>
      </c>
      <c r="N71" s="18">
        <f>F20/1000</f>
        <v>174.09543299999999</v>
      </c>
      <c r="O71" s="18">
        <f>G20/1000</f>
        <v>294.48295200000007</v>
      </c>
      <c r="P71" s="18">
        <f>H20/1000</f>
        <v>466.66409400000003</v>
      </c>
      <c r="Q71" s="18">
        <f>I20/1000</f>
        <v>718.79447699999992</v>
      </c>
    </row>
    <row r="72" spans="1:18" ht="19" x14ac:dyDescent="0.25">
      <c r="A72" s="55" t="s">
        <v>158</v>
      </c>
      <c r="B72" s="4"/>
      <c r="C72" s="4"/>
      <c r="D72" s="4"/>
      <c r="E72" s="4"/>
      <c r="F72" s="4"/>
      <c r="G72" s="4"/>
      <c r="H72" s="4"/>
      <c r="I72" s="4"/>
      <c r="J72" s="4"/>
      <c r="L72" s="16" t="s">
        <v>200</v>
      </c>
      <c r="M72" s="17">
        <f>E32/1000</f>
        <v>64.742625000000004</v>
      </c>
      <c r="N72" s="17">
        <f>F32/1000</f>
        <v>149.25543299999998</v>
      </c>
      <c r="O72" s="17">
        <f>G32/1000</f>
        <v>265.91695200000004</v>
      </c>
      <c r="P72" s="17">
        <f>H32/1000</f>
        <v>433.81319400000007</v>
      </c>
      <c r="Q72" s="17">
        <f>I32/1000</f>
        <v>681.01594199999988</v>
      </c>
      <c r="R72" s="16"/>
    </row>
    <row r="73" spans="1:18" x14ac:dyDescent="0.2">
      <c r="L73" t="s">
        <v>201</v>
      </c>
      <c r="M73" s="18">
        <f>E39/1000</f>
        <v>48.056968750000003</v>
      </c>
      <c r="N73" s="18">
        <f>F39/1000</f>
        <v>111.19157475</v>
      </c>
      <c r="O73" s="18">
        <f>G39/1000</f>
        <v>198.43771400000003</v>
      </c>
      <c r="P73" s="18">
        <f>H39/1000</f>
        <v>323.85989550000005</v>
      </c>
      <c r="Q73" s="18">
        <f>I39/1000</f>
        <v>508.7619565</v>
      </c>
    </row>
    <row r="74" spans="1:18" x14ac:dyDescent="0.2">
      <c r="A74" s="6" t="s">
        <v>159</v>
      </c>
      <c r="B74" s="15" t="s">
        <v>30</v>
      </c>
      <c r="C74" s="6" t="s">
        <v>160</v>
      </c>
      <c r="D74" s="7"/>
      <c r="E74" s="7"/>
      <c r="F74" s="7"/>
      <c r="G74" s="7"/>
      <c r="H74" s="7"/>
      <c r="I74" s="7"/>
      <c r="J74" s="7"/>
    </row>
    <row r="75" spans="1:18" x14ac:dyDescent="0.2">
      <c r="A75" s="16" t="s">
        <v>51</v>
      </c>
      <c r="B75" s="66">
        <v>1200</v>
      </c>
      <c r="C75" s="16" t="s">
        <v>161</v>
      </c>
      <c r="D75" s="16"/>
      <c r="E75" s="16"/>
      <c r="F75" s="16"/>
      <c r="G75" s="16"/>
      <c r="H75" s="16"/>
      <c r="I75" s="16"/>
      <c r="J75" s="16"/>
      <c r="L75" s="3" t="s">
        <v>202</v>
      </c>
      <c r="M75" s="4"/>
      <c r="N75" s="4"/>
      <c r="O75" s="4"/>
      <c r="P75" s="4"/>
      <c r="Q75" s="4"/>
      <c r="R75" s="4"/>
    </row>
    <row r="76" spans="1:18" x14ac:dyDescent="0.2">
      <c r="A76" t="s">
        <v>52</v>
      </c>
      <c r="B76" s="62">
        <v>6000</v>
      </c>
      <c r="C76" t="s">
        <v>162</v>
      </c>
      <c r="L76" s="7"/>
      <c r="M76" s="15" t="s">
        <v>30</v>
      </c>
      <c r="N76" s="15" t="s">
        <v>31</v>
      </c>
      <c r="O76" s="15" t="s">
        <v>32</v>
      </c>
      <c r="P76" s="15" t="s">
        <v>33</v>
      </c>
      <c r="Q76" s="15" t="s">
        <v>34</v>
      </c>
      <c r="R76" s="7"/>
    </row>
    <row r="77" spans="1:18" x14ac:dyDescent="0.2">
      <c r="A77" s="16" t="s">
        <v>53</v>
      </c>
      <c r="B77" s="66">
        <v>2400</v>
      </c>
      <c r="C77" s="16" t="s">
        <v>163</v>
      </c>
      <c r="D77" s="16"/>
      <c r="E77" s="16"/>
      <c r="F77" s="16"/>
      <c r="G77" s="16"/>
      <c r="H77" s="16"/>
      <c r="I77" s="16"/>
      <c r="J77" s="16"/>
      <c r="L77" t="s">
        <v>203</v>
      </c>
      <c r="M77" s="79">
        <f>E15/1000</f>
        <v>65.94</v>
      </c>
      <c r="N77" s="79">
        <f>F15/1000</f>
        <v>148.36500000000001</v>
      </c>
      <c r="O77" s="79">
        <f>G15/1000</f>
        <v>259.67172000000005</v>
      </c>
      <c r="P77" s="79">
        <f>H15/1000</f>
        <v>417.26832000000002</v>
      </c>
      <c r="Q77" s="79">
        <f>I15/1000</f>
        <v>646.73951999999997</v>
      </c>
    </row>
    <row r="78" spans="1:18" x14ac:dyDescent="0.2">
      <c r="A78" t="s">
        <v>54</v>
      </c>
      <c r="B78" s="62">
        <v>12000</v>
      </c>
      <c r="C78" t="s">
        <v>164</v>
      </c>
      <c r="L78" s="16" t="s">
        <v>204</v>
      </c>
      <c r="M78" s="80">
        <f>E16/1000</f>
        <v>17.997</v>
      </c>
      <c r="N78" s="80">
        <f>F16/1000</f>
        <v>26.9955</v>
      </c>
      <c r="O78" s="80">
        <f>G16/1000</f>
        <v>40.493250000000003</v>
      </c>
      <c r="P78" s="80">
        <f>H16/1000</f>
        <v>60.769870000000004</v>
      </c>
      <c r="Q78" s="80">
        <f>I16/1000</f>
        <v>91.124809999999997</v>
      </c>
      <c r="R78" s="16"/>
    </row>
    <row r="79" spans="1:18" x14ac:dyDescent="0.2">
      <c r="A79" s="6" t="s">
        <v>165</v>
      </c>
      <c r="B79" s="67">
        <v>21600</v>
      </c>
      <c r="C79" s="6" t="s">
        <v>166</v>
      </c>
      <c r="D79" s="7"/>
      <c r="E79" s="7"/>
      <c r="F79" s="7"/>
      <c r="G79" s="7"/>
      <c r="H79" s="7"/>
      <c r="I79" s="7"/>
      <c r="J79" s="7"/>
      <c r="L79" t="s">
        <v>205</v>
      </c>
      <c r="M79" s="79">
        <f>E17/1000</f>
        <v>11.99925</v>
      </c>
      <c r="N79" s="79">
        <f>F17/1000</f>
        <v>18.078870000000002</v>
      </c>
      <c r="O79" s="79">
        <f>G17/1000</f>
        <v>27.038310000000003</v>
      </c>
      <c r="P79" s="79">
        <f>H17/1000</f>
        <v>40.477470000000004</v>
      </c>
      <c r="Q79" s="79">
        <f>I17/1000</f>
        <v>60.796200000000006</v>
      </c>
    </row>
    <row r="81" spans="1:18" x14ac:dyDescent="0.2">
      <c r="A81" s="16" t="s">
        <v>167</v>
      </c>
      <c r="B81" s="56" t="s">
        <v>168</v>
      </c>
      <c r="C81" s="16" t="s">
        <v>169</v>
      </c>
      <c r="D81" s="16"/>
      <c r="E81" s="16"/>
      <c r="F81" s="16"/>
      <c r="G81" s="16"/>
      <c r="H81" s="16"/>
      <c r="I81" s="16"/>
      <c r="J81" s="16"/>
    </row>
    <row r="82" spans="1:18" x14ac:dyDescent="0.2">
      <c r="L82" s="3" t="s">
        <v>206</v>
      </c>
      <c r="M82" s="4"/>
      <c r="N82" s="4"/>
      <c r="O82" s="4"/>
      <c r="P82" s="4"/>
      <c r="Q82" s="4"/>
      <c r="R82" s="4"/>
    </row>
    <row r="83" spans="1:18" x14ac:dyDescent="0.2">
      <c r="A83" s="2" t="s">
        <v>170</v>
      </c>
      <c r="L83" s="7"/>
      <c r="M83" s="15" t="s">
        <v>207</v>
      </c>
      <c r="N83" s="15" t="s">
        <v>208</v>
      </c>
      <c r="O83" s="15" t="s">
        <v>209</v>
      </c>
      <c r="P83" s="15" t="s">
        <v>210</v>
      </c>
      <c r="Q83" s="15" t="s">
        <v>211</v>
      </c>
      <c r="R83" s="15" t="s">
        <v>212</v>
      </c>
    </row>
    <row r="84" spans="1:18" x14ac:dyDescent="0.2">
      <c r="L84" t="s">
        <v>213</v>
      </c>
      <c r="M84" s="18">
        <f>M44/1000</f>
        <v>1028.9220579544326</v>
      </c>
      <c r="N84" s="18">
        <f>N44/1000</f>
        <v>966.22225691111714</v>
      </c>
      <c r="O84" s="18">
        <f>O44/1000</f>
        <v>13730.211400082871</v>
      </c>
      <c r="P84" s="18">
        <f>M65/1000</f>
        <v>376.72628693719605</v>
      </c>
      <c r="Q84" s="18">
        <f>N65/1000</f>
        <v>17181.045405216002</v>
      </c>
      <c r="R84" s="18">
        <f>O65/1000</f>
        <v>2920.6603969197931</v>
      </c>
    </row>
    <row r="85" spans="1:18" ht="19" x14ac:dyDescent="0.25">
      <c r="A85" s="55" t="s">
        <v>181</v>
      </c>
      <c r="B85" s="4"/>
      <c r="C85" s="4"/>
      <c r="D85" s="4"/>
      <c r="E85" s="4"/>
      <c r="F85" s="4"/>
      <c r="G85" s="4"/>
      <c r="H85" s="4"/>
      <c r="I85" s="4"/>
      <c r="J85" s="4"/>
    </row>
    <row r="86" spans="1:18" x14ac:dyDescent="0.2">
      <c r="L86" s="3" t="s">
        <v>214</v>
      </c>
      <c r="M86" s="4"/>
      <c r="N86" s="4"/>
      <c r="O86" s="4"/>
      <c r="P86" s="4"/>
      <c r="Q86" s="4"/>
      <c r="R86" s="4"/>
    </row>
    <row r="87" spans="1:18" x14ac:dyDescent="0.2">
      <c r="A87" s="6" t="s">
        <v>182</v>
      </c>
      <c r="B87" s="15" t="s">
        <v>30</v>
      </c>
      <c r="C87" s="15" t="s">
        <v>31</v>
      </c>
      <c r="D87" s="15" t="s">
        <v>32</v>
      </c>
      <c r="E87" s="15" t="s">
        <v>33</v>
      </c>
      <c r="F87" s="15" t="s">
        <v>34</v>
      </c>
      <c r="G87" s="15" t="s">
        <v>183</v>
      </c>
      <c r="H87" s="15" t="s">
        <v>184</v>
      </c>
      <c r="I87" s="7"/>
      <c r="J87" s="7"/>
      <c r="L87" s="7"/>
      <c r="M87" s="15" t="s">
        <v>30</v>
      </c>
      <c r="N87" s="15" t="s">
        <v>31</v>
      </c>
      <c r="O87" s="15" t="s">
        <v>32</v>
      </c>
      <c r="P87" s="15" t="s">
        <v>33</v>
      </c>
      <c r="Q87" s="15" t="s">
        <v>34</v>
      </c>
      <c r="R87" s="7"/>
    </row>
    <row r="88" spans="1:18" x14ac:dyDescent="0.2">
      <c r="A88" s="16" t="s">
        <v>185</v>
      </c>
      <c r="B88" s="20">
        <f>E15</f>
        <v>65940</v>
      </c>
      <c r="C88" s="20">
        <f>F15</f>
        <v>148365</v>
      </c>
      <c r="D88" s="20">
        <f>G15</f>
        <v>259671.72000000003</v>
      </c>
      <c r="E88" s="20">
        <f>H15</f>
        <v>417268.32</v>
      </c>
      <c r="F88" s="20">
        <f>I15</f>
        <v>646739.52</v>
      </c>
      <c r="G88" s="35">
        <f>SUM(B88:F88)</f>
        <v>1537984.56</v>
      </c>
      <c r="H88" s="68">
        <f>G88/$G$91</f>
        <v>0.79533575267796708</v>
      </c>
      <c r="I88" s="16"/>
      <c r="J88" s="16"/>
      <c r="L88" t="s">
        <v>215</v>
      </c>
      <c r="M88" s="79">
        <f>E7/1000</f>
        <v>5</v>
      </c>
      <c r="N88" s="79">
        <f>F7/1000</f>
        <v>7.5</v>
      </c>
      <c r="O88" s="79">
        <f>G7/1000</f>
        <v>11.25</v>
      </c>
      <c r="P88" s="79">
        <f>H7/1000</f>
        <v>16.875</v>
      </c>
      <c r="Q88" s="79">
        <f>I7/1000</f>
        <v>25.3125</v>
      </c>
    </row>
    <row r="89" spans="1:18" x14ac:dyDescent="0.2">
      <c r="A89" t="s">
        <v>186</v>
      </c>
      <c r="B89" s="21">
        <f>E16</f>
        <v>17997</v>
      </c>
      <c r="C89" s="21">
        <f>F16</f>
        <v>26995.5</v>
      </c>
      <c r="D89" s="21">
        <f>G16</f>
        <v>40493.25</v>
      </c>
      <c r="E89" s="21">
        <f>H16</f>
        <v>60769.87</v>
      </c>
      <c r="F89" s="21">
        <f>I16</f>
        <v>91124.81</v>
      </c>
      <c r="G89" s="11">
        <f>SUM(B89:F89)</f>
        <v>237380.43</v>
      </c>
      <c r="H89" s="28">
        <f>G89/$G$91</f>
        <v>0.12275620176906683</v>
      </c>
      <c r="L89" s="16" t="s">
        <v>216</v>
      </c>
      <c r="M89" s="17">
        <f>E11</f>
        <v>875</v>
      </c>
      <c r="N89" s="17">
        <f>F11</f>
        <v>1688</v>
      </c>
      <c r="O89" s="17">
        <f>G11</f>
        <v>2813</v>
      </c>
      <c r="P89" s="17">
        <f>H11</f>
        <v>4430</v>
      </c>
      <c r="Q89" s="17">
        <f>I11</f>
        <v>6803</v>
      </c>
      <c r="R89" s="16"/>
    </row>
    <row r="90" spans="1:18" x14ac:dyDescent="0.2">
      <c r="A90" s="16" t="s">
        <v>187</v>
      </c>
      <c r="B90" s="20">
        <f>E17</f>
        <v>11999.25</v>
      </c>
      <c r="C90" s="20">
        <f>F17</f>
        <v>18078.870000000003</v>
      </c>
      <c r="D90" s="20">
        <f>G17</f>
        <v>27038.31</v>
      </c>
      <c r="E90" s="20">
        <f>H17</f>
        <v>40477.47</v>
      </c>
      <c r="F90" s="20">
        <f>I17</f>
        <v>60796.200000000004</v>
      </c>
      <c r="G90" s="35">
        <f>SUM(B90:F90)</f>
        <v>158390.1</v>
      </c>
      <c r="H90" s="68">
        <f>G90/$G$91</f>
        <v>8.1908045552966074E-2</v>
      </c>
      <c r="I90" s="16"/>
      <c r="J90" s="16"/>
      <c r="L90" t="s">
        <v>217</v>
      </c>
      <c r="M90" s="28">
        <f>E11/E7</f>
        <v>0.17499999999999999</v>
      </c>
      <c r="N90" s="28">
        <f>F11/F7</f>
        <v>0.22506666666666666</v>
      </c>
      <c r="O90" s="28">
        <f>G11/G7</f>
        <v>0.25004444444444446</v>
      </c>
      <c r="P90" s="28">
        <f>H11/H7</f>
        <v>0.26251851851851854</v>
      </c>
      <c r="Q90" s="28">
        <f>I11/I7</f>
        <v>0.2687604938271605</v>
      </c>
    </row>
    <row r="91" spans="1:18" x14ac:dyDescent="0.2">
      <c r="A91" s="6" t="s">
        <v>45</v>
      </c>
      <c r="B91" s="22">
        <f>SUM(B88:B90)</f>
        <v>95936.25</v>
      </c>
      <c r="C91" s="22">
        <f>SUM(C88:C90)</f>
        <v>193439.37</v>
      </c>
      <c r="D91" s="22">
        <f>SUM(D88:D90)</f>
        <v>327203.28000000003</v>
      </c>
      <c r="E91" s="22">
        <f>SUM(E88:E90)</f>
        <v>518515.66000000003</v>
      </c>
      <c r="F91" s="22">
        <f>SUM(F88:F90)</f>
        <v>798660.53</v>
      </c>
      <c r="G91" s="22">
        <f>SUM(G88:G90)</f>
        <v>1933755.09</v>
      </c>
      <c r="H91" s="41">
        <v>1</v>
      </c>
      <c r="I91" s="7"/>
      <c r="J91" s="7"/>
    </row>
    <row r="93" spans="1:18" x14ac:dyDescent="0.2">
      <c r="A93" s="23" t="s">
        <v>188</v>
      </c>
      <c r="B93" s="24">
        <f>E19</f>
        <v>-9593.625</v>
      </c>
      <c r="C93" s="24">
        <f>F19</f>
        <v>-19343.937000000002</v>
      </c>
      <c r="D93" s="24">
        <f>G19</f>
        <v>-32720.328000000005</v>
      </c>
      <c r="E93" s="24">
        <f>H19</f>
        <v>-51851.566000000006</v>
      </c>
      <c r="F93" s="24">
        <f>I19</f>
        <v>-79866.053000000014</v>
      </c>
      <c r="G93" s="69">
        <f>SUM(B93:F93)</f>
        <v>-193375.50900000002</v>
      </c>
      <c r="H93" s="70">
        <f>G93/$G$91</f>
        <v>-0.1</v>
      </c>
    </row>
    <row r="94" spans="1:18" x14ac:dyDescent="0.2">
      <c r="A94" s="25" t="s">
        <v>47</v>
      </c>
      <c r="B94" s="26">
        <f>B91+B93</f>
        <v>86342.625</v>
      </c>
      <c r="C94" s="26">
        <f>C91+C93</f>
        <v>174095.43299999999</v>
      </c>
      <c r="D94" s="26">
        <f>D91+D93</f>
        <v>294482.95200000005</v>
      </c>
      <c r="E94" s="26">
        <f>E91+E93</f>
        <v>466664.09400000004</v>
      </c>
      <c r="F94" s="26">
        <f>F91+F93</f>
        <v>718794.47699999996</v>
      </c>
      <c r="G94" s="26">
        <f>SUM(B94:F94)</f>
        <v>1740379.581</v>
      </c>
      <c r="H94" s="71">
        <f>G94/$G$91</f>
        <v>0.89999999999999991</v>
      </c>
      <c r="I94" s="38"/>
      <c r="J94" s="38"/>
    </row>
    <row r="96" spans="1:18" x14ac:dyDescent="0.2">
      <c r="A96" s="6" t="s">
        <v>189</v>
      </c>
      <c r="B96" s="7"/>
      <c r="C96" s="7"/>
      <c r="D96" s="7"/>
      <c r="E96" s="7"/>
      <c r="F96" s="7"/>
      <c r="G96" s="7"/>
      <c r="H96" s="7"/>
      <c r="I96" s="7"/>
      <c r="J96" s="7"/>
    </row>
    <row r="97" spans="1:10" x14ac:dyDescent="0.2">
      <c r="A97" s="16" t="s">
        <v>190</v>
      </c>
      <c r="B97" s="68">
        <f>B88/B91</f>
        <v>0.68733143102841732</v>
      </c>
      <c r="C97" s="68">
        <f>C88/C91</f>
        <v>0.7669845078589741</v>
      </c>
      <c r="D97" s="68">
        <f>D88/D91</f>
        <v>0.79360977066000071</v>
      </c>
      <c r="E97" s="68">
        <f>E88/E91</f>
        <v>0.80473619639568839</v>
      </c>
      <c r="F97" s="68">
        <f>F88/F91</f>
        <v>0.80978024543168547</v>
      </c>
      <c r="G97" s="72">
        <f>G88/G91</f>
        <v>0.79533575267796708</v>
      </c>
      <c r="H97" s="73" t="s">
        <v>191</v>
      </c>
      <c r="I97" s="16"/>
      <c r="J97" s="16"/>
    </row>
    <row r="98" spans="1:10" x14ac:dyDescent="0.2">
      <c r="A98" t="s">
        <v>192</v>
      </c>
      <c r="B98" s="28">
        <f>(B89+B90)/B91</f>
        <v>0.31266856897158268</v>
      </c>
      <c r="C98" s="28">
        <f>(C89+C90)/C91</f>
        <v>0.2330154921410259</v>
      </c>
      <c r="D98" s="28">
        <f>(D89+D90)/D91</f>
        <v>0.20639022933999926</v>
      </c>
      <c r="E98" s="28">
        <f>(E89+E90)/E91</f>
        <v>0.19526380360431156</v>
      </c>
      <c r="F98" s="28">
        <f>(F89+F90)/F91</f>
        <v>0.19021975456831453</v>
      </c>
      <c r="G98" s="74">
        <f>(G89+G90)/G91</f>
        <v>0.20466424732203292</v>
      </c>
      <c r="H98" s="46" t="s">
        <v>193</v>
      </c>
    </row>
    <row r="100" spans="1:10" x14ac:dyDescent="0.2">
      <c r="A100" s="6" t="s">
        <v>194</v>
      </c>
      <c r="B100" s="75">
        <f>B94</f>
        <v>86342.625</v>
      </c>
      <c r="C100" s="75">
        <f>B100+C94</f>
        <v>260438.05799999999</v>
      </c>
      <c r="D100" s="75">
        <f>C100+D94</f>
        <v>554921.01</v>
      </c>
      <c r="E100" s="75">
        <f>D100+E94</f>
        <v>1021585.1040000001</v>
      </c>
      <c r="F100" s="75" t="e" cm="1">
        <f t="array" ref="F100">E100+A21F94</f>
        <v>#NAME?</v>
      </c>
      <c r="G100" s="22">
        <f>G94</f>
        <v>1740379.581</v>
      </c>
      <c r="H100" s="76" t="s">
        <v>195</v>
      </c>
      <c r="I100" s="7"/>
      <c r="J100" s="7"/>
    </row>
    <row r="101" spans="1:10" x14ac:dyDescent="0.2">
      <c r="A101" s="25" t="s">
        <v>196</v>
      </c>
      <c r="B101" s="77">
        <f>E32</f>
        <v>64742.625</v>
      </c>
      <c r="C101" s="77">
        <f>B101+F32</f>
        <v>213998.05799999999</v>
      </c>
      <c r="D101" s="77">
        <f>C101+G32</f>
        <v>479915.01</v>
      </c>
      <c r="E101" s="77">
        <f>D101+H32</f>
        <v>913728.20400000014</v>
      </c>
      <c r="F101" s="77">
        <f>E101+I32</f>
        <v>1594744.1460000002</v>
      </c>
      <c r="G101" s="26">
        <f>F101</f>
        <v>1594744.1460000002</v>
      </c>
      <c r="H101" s="78" t="s">
        <v>197</v>
      </c>
      <c r="I101" s="38"/>
      <c r="J101" s="38"/>
    </row>
    <row r="136" spans="1:10" ht="19" x14ac:dyDescent="0.25">
      <c r="A136" s="55" t="s">
        <v>218</v>
      </c>
      <c r="B136" s="4"/>
      <c r="C136" s="4"/>
      <c r="D136" s="4"/>
      <c r="E136" s="4"/>
      <c r="F136" s="4"/>
      <c r="G136" s="4"/>
      <c r="H136" s="4"/>
      <c r="I136" s="4"/>
      <c r="J136" s="4"/>
    </row>
    <row r="138" spans="1:10" x14ac:dyDescent="0.2">
      <c r="A138" s="6" t="s">
        <v>219</v>
      </c>
      <c r="B138" s="15" t="s">
        <v>220</v>
      </c>
      <c r="C138" s="15" t="s">
        <v>221</v>
      </c>
      <c r="D138" s="15" t="s">
        <v>74</v>
      </c>
      <c r="E138" s="15" t="s">
        <v>222</v>
      </c>
      <c r="F138" s="15" t="s">
        <v>223</v>
      </c>
      <c r="G138" s="15" t="s">
        <v>224</v>
      </c>
      <c r="H138" s="15" t="s">
        <v>225</v>
      </c>
      <c r="I138" s="7"/>
      <c r="J138" s="7"/>
    </row>
    <row r="139" spans="1:10" x14ac:dyDescent="0.2">
      <c r="A139" s="29" t="s">
        <v>226</v>
      </c>
      <c r="B139" s="82">
        <f>M42</f>
        <v>163383.55751250003</v>
      </c>
      <c r="C139" s="82">
        <f>M43</f>
        <v>150312.87291150005</v>
      </c>
      <c r="D139" s="82">
        <f>M44</f>
        <v>1028922.0579544327</v>
      </c>
      <c r="E139" s="83">
        <f>D139/B139</f>
        <v>6.2975863276554778</v>
      </c>
      <c r="F139" s="84">
        <v>0.15</v>
      </c>
      <c r="G139" s="82">
        <f>D139*F139</f>
        <v>154338.3086931649</v>
      </c>
      <c r="H139" s="85" t="s">
        <v>227</v>
      </c>
      <c r="I139" s="81"/>
      <c r="J139" s="81"/>
    </row>
    <row r="140" spans="1:10" x14ac:dyDescent="0.2">
      <c r="A140" s="25" t="s">
        <v>228</v>
      </c>
      <c r="B140" s="77">
        <f>I20</f>
        <v>718794.47699999996</v>
      </c>
      <c r="C140" s="77">
        <f>I32</f>
        <v>681015.94199999992</v>
      </c>
      <c r="D140" s="77">
        <f>E53</f>
        <v>966222.25691111712</v>
      </c>
      <c r="E140" s="86">
        <f>D140/B140</f>
        <v>1.3442260448964429</v>
      </c>
      <c r="F140" s="87">
        <v>0.4</v>
      </c>
      <c r="G140" s="77">
        <f>D140*F140</f>
        <v>386488.90276444686</v>
      </c>
      <c r="H140" s="88" t="s">
        <v>229</v>
      </c>
      <c r="I140" s="38"/>
      <c r="J140" s="38"/>
    </row>
    <row r="141" spans="1:10" x14ac:dyDescent="0.2">
      <c r="A141" s="6" t="s">
        <v>230</v>
      </c>
      <c r="B141" s="75">
        <f>O42</f>
        <v>1138737.3231445313</v>
      </c>
      <c r="C141" s="75">
        <f>O43</f>
        <v>1081800.4569873046</v>
      </c>
      <c r="D141" s="75">
        <f>O44</f>
        <v>13730211.400082871</v>
      </c>
      <c r="E141" s="89">
        <f>D141/B141</f>
        <v>12.057399999999999</v>
      </c>
      <c r="F141" s="90">
        <v>0.15</v>
      </c>
      <c r="G141" s="75">
        <f>D141*F141</f>
        <v>2059531.7100124306</v>
      </c>
      <c r="H141" s="91" t="s">
        <v>231</v>
      </c>
      <c r="I141" s="7"/>
      <c r="J141" s="7"/>
    </row>
    <row r="143" spans="1:10" x14ac:dyDescent="0.2">
      <c r="A143" s="29" t="s">
        <v>172</v>
      </c>
      <c r="B143" s="82">
        <f>M63</f>
        <v>93252.280319999991</v>
      </c>
      <c r="C143" s="82">
        <f>M64</f>
        <v>82062.006681599989</v>
      </c>
      <c r="D143" s="82">
        <f>M65</f>
        <v>376726.28693719604</v>
      </c>
      <c r="E143" s="83">
        <f>D143/B143</f>
        <v>4.039861391533166</v>
      </c>
      <c r="F143" s="84">
        <v>0.1</v>
      </c>
      <c r="G143" s="82">
        <f>D143*F143</f>
        <v>37672.628693719606</v>
      </c>
      <c r="H143" s="85" t="s">
        <v>232</v>
      </c>
      <c r="I143" s="81"/>
      <c r="J143" s="81"/>
    </row>
    <row r="144" spans="1:10" x14ac:dyDescent="0.2">
      <c r="A144" s="25" t="s">
        <v>173</v>
      </c>
      <c r="B144" s="77">
        <f>N63</f>
        <v>1657774.8</v>
      </c>
      <c r="C144" s="77">
        <f>N64</f>
        <v>1541730.564</v>
      </c>
      <c r="D144" s="77">
        <f>N65</f>
        <v>17181045.405216001</v>
      </c>
      <c r="E144" s="86">
        <f>D144/B144</f>
        <v>10.36392</v>
      </c>
      <c r="F144" s="87">
        <v>0.1</v>
      </c>
      <c r="G144" s="77">
        <f>D144*F144</f>
        <v>1718104.5405216003</v>
      </c>
      <c r="H144" s="88" t="s">
        <v>233</v>
      </c>
      <c r="I144" s="38"/>
      <c r="J144" s="38"/>
    </row>
    <row r="145" spans="1:10" x14ac:dyDescent="0.2">
      <c r="A145" s="6" t="s">
        <v>174</v>
      </c>
      <c r="B145" s="75">
        <f>O63</f>
        <v>379487.4865101563</v>
      </c>
      <c r="C145" s="75">
        <f>O64</f>
        <v>349128.4875893438</v>
      </c>
      <c r="D145" s="75">
        <f>O65</f>
        <v>2920660.396919793</v>
      </c>
      <c r="E145" s="89">
        <f>D145/B145</f>
        <v>7.6963286030292508</v>
      </c>
      <c r="F145" s="90">
        <v>0.1</v>
      </c>
      <c r="G145" s="75">
        <f>D145*F145</f>
        <v>292066.0396919793</v>
      </c>
      <c r="H145" s="91" t="s">
        <v>234</v>
      </c>
      <c r="I145" s="7"/>
      <c r="J145" s="7"/>
    </row>
    <row r="147" spans="1:10" ht="19" x14ac:dyDescent="0.25">
      <c r="A147" s="55" t="s">
        <v>235</v>
      </c>
      <c r="B147" s="4"/>
      <c r="C147" s="4"/>
      <c r="D147" s="92">
        <f>SUM(G139:G145)</f>
        <v>4648202.1303773411</v>
      </c>
      <c r="E147" s="4"/>
      <c r="F147" s="93">
        <f>SUM(F139:F145)</f>
        <v>1</v>
      </c>
      <c r="G147" s="92">
        <f>SUM(G139:G145)</f>
        <v>4648202.1303773411</v>
      </c>
      <c r="H147" s="4"/>
      <c r="I147" s="4"/>
      <c r="J147" s="4"/>
    </row>
    <row r="149" spans="1:10" x14ac:dyDescent="0.2">
      <c r="A149" s="12" t="s">
        <v>236</v>
      </c>
      <c r="D149" s="5" t="str">
        <f>TEXT(MIN(D139:D145),"$#,##0")&amp;" - "&amp;TEXT(MAX(D139:D145),"$#,##0")</f>
        <v>$376,726 - $17,181,045</v>
      </c>
    </row>
    <row r="150" spans="1:10" x14ac:dyDescent="0.2">
      <c r="A150" s="12" t="s">
        <v>237</v>
      </c>
      <c r="D150" s="94">
        <f>(MAX(D139:D145)-D140)/D140</f>
        <v>16.781670089179581</v>
      </c>
      <c r="E150" s="12" t="s">
        <v>238</v>
      </c>
    </row>
    <row r="151" spans="1:10" x14ac:dyDescent="0.2">
      <c r="A151" s="12" t="s">
        <v>239</v>
      </c>
      <c r="D151" s="95">
        <f>(MIN(D139:D145)-D140)/D140</f>
        <v>-0.61010390286232963</v>
      </c>
      <c r="E151" s="12" t="s">
        <v>238</v>
      </c>
    </row>
    <row r="154" spans="1:10" ht="19" x14ac:dyDescent="0.25">
      <c r="A154" s="96" t="s">
        <v>240</v>
      </c>
      <c r="B154" s="4"/>
      <c r="C154" s="4"/>
      <c r="D154" s="4"/>
      <c r="E154" s="4"/>
      <c r="F154" s="4"/>
      <c r="G154" s="4"/>
      <c r="H154" s="4"/>
      <c r="I154" s="4"/>
      <c r="J154" s="4"/>
    </row>
    <row r="156" spans="1:10" ht="19" x14ac:dyDescent="0.25">
      <c r="A156" s="5" t="s">
        <v>241</v>
      </c>
      <c r="B156" s="37">
        <f>E53</f>
        <v>966222.25691111712</v>
      </c>
      <c r="D156" s="5" t="s">
        <v>242</v>
      </c>
      <c r="E156" s="92">
        <f>D147</f>
        <v>4648202.1303773411</v>
      </c>
    </row>
    <row r="158" spans="1:10" x14ac:dyDescent="0.2">
      <c r="A158" s="6" t="s">
        <v>243</v>
      </c>
      <c r="B158" s="7"/>
      <c r="C158" s="7"/>
      <c r="D158" s="7"/>
      <c r="E158" s="7"/>
      <c r="F158" s="7"/>
      <c r="G158" s="7"/>
      <c r="H158" s="7"/>
      <c r="I158" s="7"/>
      <c r="J158" s="7"/>
    </row>
    <row r="159" spans="1:10" x14ac:dyDescent="0.2">
      <c r="A159" t="s">
        <v>244</v>
      </c>
    </row>
    <row r="160" spans="1:10" x14ac:dyDescent="0.2">
      <c r="A160" t="s">
        <v>245</v>
      </c>
    </row>
    <row r="161" spans="1:10" x14ac:dyDescent="0.2">
      <c r="A161" t="s">
        <v>246</v>
      </c>
    </row>
    <row r="162" spans="1:10" x14ac:dyDescent="0.2">
      <c r="A162" t="s">
        <v>247</v>
      </c>
    </row>
    <row r="163" spans="1:10" x14ac:dyDescent="0.2">
      <c r="A163" t="s">
        <v>248</v>
      </c>
    </row>
    <row r="165" spans="1:10" x14ac:dyDescent="0.2">
      <c r="A165" s="29" t="s">
        <v>249</v>
      </c>
      <c r="B165" s="81"/>
      <c r="C165" s="81"/>
      <c r="D165" s="81"/>
      <c r="E165" s="81"/>
      <c r="F165" s="81"/>
      <c r="G165" s="81"/>
      <c r="H165" s="81"/>
      <c r="I165" s="81"/>
      <c r="J165" s="81"/>
    </row>
    <row r="166" spans="1:10" x14ac:dyDescent="0.2">
      <c r="A166" t="s">
        <v>250</v>
      </c>
    </row>
    <row r="167" spans="1:10" x14ac:dyDescent="0.2">
      <c r="A167" t="s">
        <v>251</v>
      </c>
    </row>
    <row r="168" spans="1:10" x14ac:dyDescent="0.2">
      <c r="A168" t="s">
        <v>252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B</dc:creator>
  <cp:lastModifiedBy>Sean B</cp:lastModifiedBy>
  <dcterms:created xsi:type="dcterms:W3CDTF">2025-12-10T01:02:26Z</dcterms:created>
  <dcterms:modified xsi:type="dcterms:W3CDTF">2025-12-11T03:26:45Z</dcterms:modified>
</cp:coreProperties>
</file>